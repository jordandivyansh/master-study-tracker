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GS4_Ethics" sheetId="2" state="visible" r:id="rId2"/>
    <sheet name="GS3" sheetId="3" state="visible" r:id="rId3"/>
    <sheet name="GS1" sheetId="4" state="visible" r:id="rId4"/>
    <sheet name="GS2" sheetId="5" state="visible" r:id="rId5"/>
    <sheet name="PYQ_Workbooks" sheetId="6" state="visible" r:id="rId6"/>
    <sheet name="Essay_GenericCopies" sheetId="7" state="visible" r:id="rId7"/>
    <sheet name="PubAd_Mo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8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  <fill>
      <patternFill patternType="solid">
        <fgColor rgb="00D9E1F2"/>
        <bgColor rgb="00D9E1F2"/>
      </patternFill>
    </fill>
    <fill>
      <patternFill patternType="solid">
        <fgColor rgb="003B62A4"/>
        <bgColor rgb="003B62A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4" customWidth="1" min="1" max="1"/>
    <col width="45" customWidth="1" min="2" max="2"/>
    <col width="39" customWidth="1" min="3" max="3"/>
    <col width="40" customWidth="1" min="4" max="4"/>
    <col width="42" customWidth="1" min="5" max="5"/>
    <col width="25" customWidth="1" min="6" max="6"/>
    <col width="55" customWidth="1" min="7" max="7"/>
    <col width="59" customWidth="1" min="8" max="8"/>
  </cols>
  <sheetData>
    <row r="1" ht="30" customHeight="1">
      <c r="A1" s="1" t="inlineStr">
        <is>
          <t>UPSC Mains — Preparation &amp; Mock Tests Master Dashboard</t>
        </is>
      </c>
    </row>
    <row r="2" ht="18" customHeight="1">
      <c r="A2" s="2" t="inlineStr">
        <is>
          <t>Consolidated Status across GS-1, GS-2, GS-3, GS-4, Essay &amp; PubAd Optional</t>
        </is>
      </c>
    </row>
    <row r="3" ht="20" customHeight="1">
      <c r="A3" s="3">
        <f>"Overall Progress "&amp;TEXT(A6,"0.0%")&amp;"   "&amp;REPT("█",ROUND(A6*20,0))&amp;REPT("░",20-ROUND(A6*20,0))&amp;"  ·  Total Items: "&amp;C6&amp;"  ·  Completed: "&amp;F6</f>
        <v/>
      </c>
    </row>
    <row r="5">
      <c r="A5" s="4" t="inlineStr">
        <is>
          <t>OVERALL PROGRESS</t>
        </is>
      </c>
      <c r="C5" s="4" t="inlineStr">
        <is>
          <t>TOTAL TESTS &amp; ASSIGNMENTS</t>
        </is>
      </c>
      <c r="F5" s="4" t="inlineStr">
        <is>
          <t>COMPLETED TESTS / TASKS</t>
        </is>
      </c>
    </row>
    <row r="6">
      <c r="A6" s="5">
        <f>AVERAGE(D11:D17)</f>
        <v/>
      </c>
      <c r="C6" s="6">
        <f>SUM(C11:C17)</f>
        <v/>
      </c>
      <c r="F6" s="6">
        <f>SUM(E11:E17)</f>
        <v/>
      </c>
    </row>
    <row r="9">
      <c r="A9" s="7" t="inlineStr">
        <is>
          <t>PAPER-WISE PREPARATION &amp; MOCKS BREAKDOWN</t>
        </is>
      </c>
    </row>
    <row r="10">
      <c r="A10" s="8" t="inlineStr">
        <is>
          <t>Paper</t>
        </is>
      </c>
      <c r="B10" s="8" t="inlineStr">
        <is>
          <t>Major Subjects Covered</t>
        </is>
      </c>
      <c r="C10" s="8" t="inlineStr">
        <is>
          <t>Total Items</t>
        </is>
      </c>
      <c r="D10" s="8" t="inlineStr">
        <is>
          <t>Progress %</t>
        </is>
      </c>
      <c r="E10" s="8" t="inlineStr">
        <is>
          <t>Done</t>
        </is>
      </c>
      <c r="F10" s="8" t="inlineStr">
        <is>
          <t>Visual Progress Bar</t>
        </is>
      </c>
      <c r="G10" s="8" t="inlineStr">
        <is>
          <t>Pending Mocks &amp; Key Focus</t>
        </is>
      </c>
      <c r="H10" s="8" t="inlineStr">
        <is>
          <t>Status</t>
        </is>
      </c>
    </row>
    <row r="11">
      <c r="A11" s="9" t="inlineStr">
        <is>
          <t>GS-1</t>
        </is>
      </c>
      <c r="B11" s="10" t="inlineStr">
        <is>
          <t>History (Art/Mod/Anc/Med/World/Post-Ind), Geography, Society</t>
        </is>
      </c>
      <c r="C11" s="9">
        <f>COUNTA(GS1!B5:B37)</f>
        <v/>
      </c>
      <c r="D11" s="11">
        <f>AVERAGE(GS1!H5:H37)</f>
        <v/>
      </c>
      <c r="E11" s="9">
        <f>COUNTIF(GS1!H5:H37,1)</f>
        <v/>
      </c>
      <c r="F11" s="10">
        <f>REPT("█",ROUND(D11*20,0))&amp;REPT("░",20-ROUND(D11*20,0))</f>
        <v/>
      </c>
      <c r="G11" s="10" t="inlineStr">
        <is>
          <t>8 SWL Practice Tests, 2 Full Tests (2603, 2604), PYQ Brainstorming</t>
        </is>
      </c>
      <c r="H11" s="9">
        <f>IF(D11=1,"Done",IF(D11&gt;0,"In Progress","Not Started"))</f>
        <v/>
      </c>
    </row>
    <row r="12">
      <c r="A12" s="9" t="inlineStr">
        <is>
          <t>GS-2</t>
        </is>
      </c>
      <c r="B12" s="10" t="inlineStr">
        <is>
          <t>Polity, Governance, Social Justice, International Relations</t>
        </is>
      </c>
      <c r="C12" s="9">
        <f>COUNTA(GS2!B5:B15)</f>
        <v/>
      </c>
      <c r="D12" s="11">
        <f>AVERAGE(GS2!H5:H15)</f>
        <v/>
      </c>
      <c r="E12" s="9">
        <f>COUNTIF(GS2!H5:H15,1)</f>
        <v/>
      </c>
      <c r="F12" s="10">
        <f>REPT("█",ROUND(D12*20,0))&amp;REPT("░",20-ROUND(D12*20,0))</f>
        <v/>
      </c>
      <c r="G12" s="10" t="inlineStr">
        <is>
          <t>7 Insights IAS Full Mocks + 4 Revision NBs</t>
        </is>
      </c>
      <c r="H12" s="9">
        <f>IF(D12=1,"Done",IF(D12&gt;0,"In Progress","Not Started"))</f>
        <v/>
      </c>
    </row>
    <row r="13">
      <c r="A13" s="9" t="inlineStr">
        <is>
          <t>GS-3</t>
        </is>
      </c>
      <c r="B13" s="10" t="inlineStr">
        <is>
          <t>Economy, Environment, Agriculture, Science &amp; Tech, DM</t>
        </is>
      </c>
      <c r="C13" s="9">
        <f>COUNTA(GS3!B5:B35)</f>
        <v/>
      </c>
      <c r="D13" s="11">
        <f>AVERAGE(GS3!H5:H35)</f>
        <v/>
      </c>
      <c r="E13" s="9">
        <f>COUNTIF(GS3!H5:H35,1)</f>
        <v/>
      </c>
      <c r="F13" s="10">
        <f>REPT("█",ROUND(D13*20,0))&amp;REPT("░",20-ROUND(D13*20,0))</f>
        <v/>
      </c>
      <c r="G13" s="10" t="inlineStr">
        <is>
          <t>6 SWL Full Mocks, 10 SWL Practice Tests + Handouts</t>
        </is>
      </c>
      <c r="H13" s="9">
        <f>IF(D13=1,"Done",IF(D13&gt;0,"In Progress","Not Started"))</f>
        <v/>
      </c>
    </row>
    <row r="14">
      <c r="A14" s="9" t="inlineStr">
        <is>
          <t>GS-4 (Ethics)</t>
        </is>
      </c>
      <c r="B14" s="10" t="inlineStr">
        <is>
          <t>Ethics, Integrity &amp; Aptitude (Case Studies &amp; Theory)</t>
        </is>
      </c>
      <c r="C14" s="9">
        <f>COUNTA(GS4_Ethics!B5:B30)</f>
        <v/>
      </c>
      <c r="D14" s="11">
        <f>AVERAGE(GS4_Ethics!H5:H30)</f>
        <v/>
      </c>
      <c r="E14" s="9">
        <f>COUNTIF(GS4_Ethics!H5:H30,1)</f>
        <v/>
      </c>
      <c r="F14" s="10">
        <f>REPT("█",ROUND(D14*20,0))&amp;REPT("░",20-ROUND(D14*20,0))</f>
        <v/>
      </c>
      <c r="G14" s="10" t="inlineStr">
        <is>
          <t>14 Sarrthi Tests, 5 SWL Tests, 1 Insights Mock</t>
        </is>
      </c>
      <c r="H14" s="9">
        <f>IF(D14=1,"Done",IF(D14&gt;0,"In Progress","Not Started"))</f>
        <v/>
      </c>
    </row>
    <row r="15">
      <c r="A15" s="9" t="inlineStr">
        <is>
          <t>Essay &amp; Copies</t>
        </is>
      </c>
      <c r="B15" s="10" t="inlineStr">
        <is>
          <t>Essay Writing &amp; Blank Answer Generic Copies Practice</t>
        </is>
      </c>
      <c r="C15" s="9">
        <f>COUNTA(Essay_GenericCopies!B5:B19)</f>
        <v/>
      </c>
      <c r="D15" s="11">
        <f>AVERAGE(Essay_GenericCopies!G5:G19)</f>
        <v/>
      </c>
      <c r="E15" s="9">
        <f>COUNTIF(Essay_GenericCopies!G5:G19,1)</f>
        <v/>
      </c>
      <c r="F15" s="10">
        <f>REPT("█",ROUND(D15*20,0))&amp;REPT("░",20-ROUND(D15*20,0))</f>
        <v/>
      </c>
      <c r="G15" s="10" t="inlineStr">
        <is>
          <t>4 SWL Full Mocks, 10 Generic Copies (Full/Half/Specimen)</t>
        </is>
      </c>
      <c r="H15" s="9">
        <f>IF(D15=1,"Done",IF(D15&gt;0,"In Progress","Not Started"))</f>
        <v/>
      </c>
    </row>
    <row r="16">
      <c r="A16" s="9" t="inlineStr">
        <is>
          <t>PubAd Optional</t>
        </is>
      </c>
      <c r="B16" s="10" t="inlineStr">
        <is>
          <t>Public Administration Paper 1 &amp; Paper 2 Test Series</t>
        </is>
      </c>
      <c r="C16" s="9">
        <f>COUNTA(PubAd_Mocks!C5:C52)</f>
        <v/>
      </c>
      <c r="D16" s="11">
        <f>AVERAGE(PubAd_Mocks!I5:I52)</f>
        <v/>
      </c>
      <c r="E16" s="9">
        <f>COUNTIF(PubAd_Mocks!I5:I52,1)</f>
        <v/>
      </c>
      <c r="F16" s="10">
        <f>REPT("█",ROUND(D16*20,0))&amp;REPT("░",20-ROUND(D16*20,0))</f>
        <v/>
      </c>
      <c r="G16" s="10" t="inlineStr">
        <is>
          <t>32 ForumIAS DAWT + 5 Sectional + 1 FLT, 10 Lukmaan Mocks</t>
        </is>
      </c>
      <c r="H16" s="9">
        <f>IF(D16=1,"Done",IF(D16&gt;0,"In Progress","Not Started"))</f>
        <v/>
      </c>
    </row>
    <row r="17">
      <c r="A17" s="9" t="inlineStr">
        <is>
          <t>PYQ Workbooks</t>
        </is>
      </c>
      <c r="B17" s="10" t="inlineStr">
        <is>
          <t>Smartwork Labs GS 1-4 Workbooks (2020–2024 Year-Wise)</t>
        </is>
      </c>
      <c r="C17" s="9">
        <f>COUNTA(PYQ_Workbooks!C5:C44)</f>
        <v/>
      </c>
      <c r="D17" s="11">
        <f>AVERAGE(PYQ_Workbooks!I5:I44)</f>
        <v/>
      </c>
      <c r="E17" s="9">
        <f>COUNTIF(PYQ_Workbooks!I5:I44,1)</f>
        <v/>
      </c>
      <c r="F17" s="10">
        <f>REPT("█",ROUND(D17*20,0))&amp;REPT("░",20-ROUND(D17*20,0))</f>
        <v/>
      </c>
      <c r="G17" s="10" t="inlineStr">
        <is>
          <t>400 Questions across 4 Workbooks (5 Years × 4 Papers)</t>
        </is>
      </c>
      <c r="H17" s="9">
        <f>IF(D17=1,"Done",IF(D17&gt;0,"In Progress","Not Started"))</f>
        <v/>
      </c>
    </row>
  </sheetData>
  <mergeCells count="10">
    <mergeCell ref="A9:H9"/>
    <mergeCell ref="A3:H3"/>
    <mergeCell ref="F6:H6"/>
    <mergeCell ref="F5:H5"/>
    <mergeCell ref="C5:E5"/>
    <mergeCell ref="A2:H2"/>
    <mergeCell ref="A5:B5"/>
    <mergeCell ref="A1:H1"/>
    <mergeCell ref="A6:B6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1" customWidth="1" min="3" max="3"/>
    <col width="20" customWidth="1" min="4" max="4"/>
    <col width="15" customWidth="1" min="5" max="5"/>
    <col width="19" customWidth="1" min="6" max="6"/>
    <col width="22" customWidth="1" min="7" max="7"/>
    <col width="32" customWidth="1" min="8" max="8"/>
    <col width="12" customWidth="1" min="9" max="9"/>
  </cols>
  <sheetData>
    <row r="1" ht="30" customHeight="1">
      <c r="A1" s="1" t="inlineStr">
        <is>
          <t>UPSC Mains — GS-4 Ethics Tracker</t>
        </is>
      </c>
    </row>
    <row r="2" ht="18" customHeight="1">
      <c r="A2" s="2" t="inlineStr">
        <is>
          <t>Revision Notebooks &amp; Mocks Pipeline (Sarrthi, Smartworks, Insights IAS)</t>
        </is>
      </c>
    </row>
    <row r="3" ht="20" customHeight="1">
      <c r="A3" s="3">
        <f>"Progress "&amp;TEXT(AVERAGE(H5:H30),"0%")&amp;"   "&amp;REPT("█",ROUND(AVERAGE(H5:H30)*20,0))&amp;REPT("░",20-ROUND(AVERAGE(H5:H30)*20,0))&amp;"  ·  Total Items: 26  ·  Completed: "&amp;COUNTIF(H5:H30,1)</f>
        <v/>
      </c>
    </row>
    <row r="4" ht="24" customHeight="1">
      <c r="A4" s="12" t="inlineStr">
        <is>
          <t>Category</t>
        </is>
      </c>
      <c r="B4" s="12" t="inlineStr">
        <is>
          <t>Sub-Item / Test Name</t>
        </is>
      </c>
      <c r="C4" s="12" t="inlineStr">
        <is>
          <t>Coaching / Source</t>
        </is>
      </c>
      <c r="D4" s="12" t="inlineStr">
        <is>
          <t>Duration / Pages</t>
        </is>
      </c>
      <c r="E4" s="12" t="inlineStr">
        <is>
          <t>Target Date</t>
        </is>
      </c>
      <c r="F4" s="12" t="inlineStr">
        <is>
          <t>Study / Written</t>
        </is>
      </c>
      <c r="G4" s="12" t="inlineStr">
        <is>
          <t>Review / Evaluated</t>
        </is>
      </c>
      <c r="H4" s="12" t="inlineStr">
        <is>
          <t>Progress %</t>
        </is>
      </c>
      <c r="I4" s="12" t="inlineStr">
        <is>
          <t>Remarks</t>
        </is>
      </c>
    </row>
    <row r="5">
      <c r="A5" s="10" t="inlineStr">
        <is>
          <t>Revision</t>
        </is>
      </c>
      <c r="B5" s="10" t="inlineStr">
        <is>
          <t>Foundation Notebook 1</t>
        </is>
      </c>
      <c r="C5" s="10" t="inlineStr">
        <is>
          <t>Foundation</t>
        </is>
      </c>
      <c r="D5" s="10" t="inlineStr">
        <is>
          <t>200 pages</t>
        </is>
      </c>
      <c r="E5" s="9" t="inlineStr"/>
      <c r="F5" s="9" t="b">
        <v>0</v>
      </c>
      <c r="G5" s="9" t="b">
        <v>0</v>
      </c>
      <c r="H5" s="13">
        <f>IF(F5,0.6,0)+IF(G5,0.4,0)</f>
        <v/>
      </c>
      <c r="I5" s="10" t="inlineStr"/>
    </row>
    <row r="6">
      <c r="A6" s="10" t="inlineStr">
        <is>
          <t>Revision</t>
        </is>
      </c>
      <c r="B6" s="10" t="inlineStr">
        <is>
          <t>Foundation Notebook 2</t>
        </is>
      </c>
      <c r="C6" s="10" t="inlineStr">
        <is>
          <t>Foundation</t>
        </is>
      </c>
      <c r="D6" s="10" t="inlineStr">
        <is>
          <t>200 pages</t>
        </is>
      </c>
      <c r="E6" s="9" t="inlineStr"/>
      <c r="F6" s="9" t="b">
        <v>0</v>
      </c>
      <c r="G6" s="9" t="b">
        <v>0</v>
      </c>
      <c r="H6" s="13">
        <f>IF(F6,0.6,0)+IF(G6,0.4,0)</f>
        <v/>
      </c>
      <c r="I6" s="10" t="inlineStr"/>
    </row>
    <row r="7">
      <c r="A7" s="10" t="inlineStr">
        <is>
          <t>Revision</t>
        </is>
      </c>
      <c r="B7" s="10" t="inlineStr">
        <is>
          <t>Foundation Notebook 3</t>
        </is>
      </c>
      <c r="C7" s="10" t="inlineStr">
        <is>
          <t>Foundation</t>
        </is>
      </c>
      <c r="D7" s="10" t="inlineStr">
        <is>
          <t>200 pages</t>
        </is>
      </c>
      <c r="E7" s="9" t="inlineStr"/>
      <c r="F7" s="9" t="b">
        <v>0</v>
      </c>
      <c r="G7" s="9" t="b">
        <v>0</v>
      </c>
      <c r="H7" s="13">
        <f>IF(F7,0.6,0)+IF(G7,0.4,0)</f>
        <v/>
      </c>
      <c r="I7" s="10" t="inlineStr"/>
    </row>
    <row r="8">
      <c r="A8" s="10" t="inlineStr">
        <is>
          <t>Revision</t>
        </is>
      </c>
      <c r="B8" s="10" t="inlineStr">
        <is>
          <t>Foundation Notebook 4</t>
        </is>
      </c>
      <c r="C8" s="10" t="inlineStr">
        <is>
          <t>Foundation</t>
        </is>
      </c>
      <c r="D8" s="10" t="inlineStr">
        <is>
          <t>200 pages</t>
        </is>
      </c>
      <c r="E8" s="9" t="inlineStr"/>
      <c r="F8" s="9" t="b">
        <v>0</v>
      </c>
      <c r="G8" s="9" t="b">
        <v>0</v>
      </c>
      <c r="H8" s="13">
        <f>IF(F8,0.6,0)+IF(G8,0.4,0)</f>
        <v/>
      </c>
      <c r="I8" s="10" t="inlineStr"/>
    </row>
    <row r="9">
      <c r="A9" s="10" t="inlineStr">
        <is>
          <t>Revision</t>
        </is>
      </c>
      <c r="B9" s="10" t="inlineStr">
        <is>
          <t>Peeyush Kumar Notes (2026)</t>
        </is>
      </c>
      <c r="C9" s="10" t="inlineStr">
        <is>
          <t>Peeyush Kumar</t>
        </is>
      </c>
      <c r="D9" s="10" t="inlineStr">
        <is>
          <t>300 pages</t>
        </is>
      </c>
      <c r="E9" s="9" t="inlineStr"/>
      <c r="F9" s="9" t="b">
        <v>0</v>
      </c>
      <c r="G9" s="9" t="b">
        <v>0</v>
      </c>
      <c r="H9" s="13">
        <f>IF(F9,0.6,0)+IF(G9,0.4,0)</f>
        <v/>
      </c>
      <c r="I9" s="10" t="inlineStr"/>
    </row>
    <row r="10">
      <c r="A10" s="10" t="inlineStr">
        <is>
          <t>Revision</t>
        </is>
      </c>
      <c r="B10" s="10" t="inlineStr">
        <is>
          <t>Revision Notes (2026)</t>
        </is>
      </c>
      <c r="C10" s="10" t="inlineStr">
        <is>
          <t>Revision Notes</t>
        </is>
      </c>
      <c r="D10" s="10" t="inlineStr">
        <is>
          <t>200 pages</t>
        </is>
      </c>
      <c r="E10" s="9" t="inlineStr"/>
      <c r="F10" s="9" t="b">
        <v>0</v>
      </c>
      <c r="G10" s="9" t="b">
        <v>0</v>
      </c>
      <c r="H10" s="13">
        <f>IF(F10,0.6,0)+IF(G10,0.4,0)</f>
        <v/>
      </c>
      <c r="I10" s="10" t="inlineStr"/>
    </row>
    <row r="11">
      <c r="A11" s="10" t="inlineStr">
        <is>
          <t>Mock Test</t>
        </is>
      </c>
      <c r="B11" s="10" t="inlineStr">
        <is>
          <t>Section A Mini Test 1</t>
        </is>
      </c>
      <c r="C11" s="10" t="inlineStr">
        <is>
          <t>Sarrthi IAS</t>
        </is>
      </c>
      <c r="D11" s="10" t="inlineStr">
        <is>
          <t>1.5 hr</t>
        </is>
      </c>
      <c r="E11" s="9" t="inlineStr"/>
      <c r="F11" s="9" t="b">
        <v>0</v>
      </c>
      <c r="G11" s="9" t="b">
        <v>0</v>
      </c>
      <c r="H11" s="13">
        <f>IF(F11,0.6,0)+IF(G11,0.4,0)</f>
        <v/>
      </c>
      <c r="I11" s="10" t="inlineStr"/>
    </row>
    <row r="12">
      <c r="A12" s="10" t="inlineStr">
        <is>
          <t>Mock Test</t>
        </is>
      </c>
      <c r="B12" s="10" t="inlineStr">
        <is>
          <t>Section A Mini Test 2</t>
        </is>
      </c>
      <c r="C12" s="10" t="inlineStr">
        <is>
          <t>Sarrthi IAS</t>
        </is>
      </c>
      <c r="D12" s="10" t="inlineStr">
        <is>
          <t>1.5 hr</t>
        </is>
      </c>
      <c r="E12" s="9" t="inlineStr"/>
      <c r="F12" s="9" t="b">
        <v>0</v>
      </c>
      <c r="G12" s="9" t="b">
        <v>0</v>
      </c>
      <c r="H12" s="13">
        <f>IF(F12,0.6,0)+IF(G12,0.4,0)</f>
        <v/>
      </c>
      <c r="I12" s="10" t="inlineStr"/>
    </row>
    <row r="13">
      <c r="A13" s="10" t="inlineStr">
        <is>
          <t>Mock Test</t>
        </is>
      </c>
      <c r="B13" s="10" t="inlineStr">
        <is>
          <t>Section A Mini Test 3</t>
        </is>
      </c>
      <c r="C13" s="10" t="inlineStr">
        <is>
          <t>Sarrthi IAS</t>
        </is>
      </c>
      <c r="D13" s="10" t="inlineStr">
        <is>
          <t>1.5 hr</t>
        </is>
      </c>
      <c r="E13" s="9" t="inlineStr"/>
      <c r="F13" s="9" t="b">
        <v>0</v>
      </c>
      <c r="G13" s="9" t="b">
        <v>0</v>
      </c>
      <c r="H13" s="13">
        <f>IF(F13,0.6,0)+IF(G13,0.4,0)</f>
        <v/>
      </c>
      <c r="I13" s="10" t="inlineStr"/>
    </row>
    <row r="14">
      <c r="A14" s="10" t="inlineStr">
        <is>
          <t>Mock Test</t>
        </is>
      </c>
      <c r="B14" s="10" t="inlineStr">
        <is>
          <t>Section A Mini Test 4</t>
        </is>
      </c>
      <c r="C14" s="10" t="inlineStr">
        <is>
          <t>Sarrthi IAS</t>
        </is>
      </c>
      <c r="D14" s="10" t="inlineStr">
        <is>
          <t>1.5 hr</t>
        </is>
      </c>
      <c r="E14" s="9" t="inlineStr"/>
      <c r="F14" s="9" t="b">
        <v>0</v>
      </c>
      <c r="G14" s="9" t="b">
        <v>0</v>
      </c>
      <c r="H14" s="13">
        <f>IF(F14,0.6,0)+IF(G14,0.4,0)</f>
        <v/>
      </c>
      <c r="I14" s="10" t="inlineStr"/>
    </row>
    <row r="15">
      <c r="A15" s="10" t="inlineStr">
        <is>
          <t>Mock Test</t>
        </is>
      </c>
      <c r="B15" s="10" t="inlineStr">
        <is>
          <t>Section A Mini Test 5</t>
        </is>
      </c>
      <c r="C15" s="10" t="inlineStr">
        <is>
          <t>Sarrthi IAS</t>
        </is>
      </c>
      <c r="D15" s="10" t="inlineStr">
        <is>
          <t>1.5 hr</t>
        </is>
      </c>
      <c r="E15" s="9" t="inlineStr"/>
      <c r="F15" s="9" t="b">
        <v>0</v>
      </c>
      <c r="G15" s="9" t="b">
        <v>0</v>
      </c>
      <c r="H15" s="13">
        <f>IF(F15,0.6,0)+IF(G15,0.4,0)</f>
        <v/>
      </c>
      <c r="I15" s="10" t="inlineStr"/>
    </row>
    <row r="16">
      <c r="A16" s="10" t="inlineStr">
        <is>
          <t>Mock Test</t>
        </is>
      </c>
      <c r="B16" s="10" t="inlineStr">
        <is>
          <t>Section A Mini Test 6</t>
        </is>
      </c>
      <c r="C16" s="10" t="inlineStr">
        <is>
          <t>Sarrthi IAS</t>
        </is>
      </c>
      <c r="D16" s="10" t="inlineStr">
        <is>
          <t>1.5 hr</t>
        </is>
      </c>
      <c r="E16" s="9" t="inlineStr"/>
      <c r="F16" s="9" t="b">
        <v>0</v>
      </c>
      <c r="G16" s="9" t="b">
        <v>0</v>
      </c>
      <c r="H16" s="13">
        <f>IF(F16,0.6,0)+IF(G16,0.4,0)</f>
        <v/>
      </c>
      <c r="I16" s="10" t="inlineStr"/>
    </row>
    <row r="17">
      <c r="A17" s="10" t="inlineStr">
        <is>
          <t>Mock Test</t>
        </is>
      </c>
      <c r="B17" s="10" t="inlineStr">
        <is>
          <t>Section B Mini Test 1</t>
        </is>
      </c>
      <c r="C17" s="10" t="inlineStr">
        <is>
          <t>Sarrthi IAS</t>
        </is>
      </c>
      <c r="D17" s="10" t="inlineStr">
        <is>
          <t>1.5 hr</t>
        </is>
      </c>
      <c r="E17" s="9" t="inlineStr"/>
      <c r="F17" s="9" t="b">
        <v>0</v>
      </c>
      <c r="G17" s="9" t="b">
        <v>0</v>
      </c>
      <c r="H17" s="13">
        <f>IF(F17,0.6,0)+IF(G17,0.4,0)</f>
        <v/>
      </c>
      <c r="I17" s="10" t="inlineStr"/>
    </row>
    <row r="18">
      <c r="A18" s="10" t="inlineStr">
        <is>
          <t>Mock Test</t>
        </is>
      </c>
      <c r="B18" s="10" t="inlineStr">
        <is>
          <t>Section B Mini Test 2</t>
        </is>
      </c>
      <c r="C18" s="10" t="inlineStr">
        <is>
          <t>Sarrthi IAS</t>
        </is>
      </c>
      <c r="D18" s="10" t="inlineStr">
        <is>
          <t>1.5 hr</t>
        </is>
      </c>
      <c r="E18" s="9" t="inlineStr"/>
      <c r="F18" s="9" t="b">
        <v>0</v>
      </c>
      <c r="G18" s="9" t="b">
        <v>0</v>
      </c>
      <c r="H18" s="13">
        <f>IF(F18,0.6,0)+IF(G18,0.4,0)</f>
        <v/>
      </c>
      <c r="I18" s="10" t="inlineStr"/>
    </row>
    <row r="19">
      <c r="A19" s="10" t="inlineStr">
        <is>
          <t>Mock Test</t>
        </is>
      </c>
      <c r="B19" s="10" t="inlineStr">
        <is>
          <t>Section B Mini Test 3</t>
        </is>
      </c>
      <c r="C19" s="10" t="inlineStr">
        <is>
          <t>Sarrthi IAS</t>
        </is>
      </c>
      <c r="D19" s="10" t="inlineStr">
        <is>
          <t>1.5 hr</t>
        </is>
      </c>
      <c r="E19" s="9" t="inlineStr"/>
      <c r="F19" s="9" t="b">
        <v>0</v>
      </c>
      <c r="G19" s="9" t="b">
        <v>0</v>
      </c>
      <c r="H19" s="13">
        <f>IF(F19,0.6,0)+IF(G19,0.4,0)</f>
        <v/>
      </c>
      <c r="I19" s="10" t="inlineStr"/>
    </row>
    <row r="20">
      <c r="A20" s="10" t="inlineStr">
        <is>
          <t>Mock Test</t>
        </is>
      </c>
      <c r="B20" s="10" t="inlineStr">
        <is>
          <t>Section B Mini Test 4</t>
        </is>
      </c>
      <c r="C20" s="10" t="inlineStr">
        <is>
          <t>Sarrthi IAS</t>
        </is>
      </c>
      <c r="D20" s="10" t="inlineStr">
        <is>
          <t>1.5 hr</t>
        </is>
      </c>
      <c r="E20" s="9" t="inlineStr"/>
      <c r="F20" s="9" t="b">
        <v>0</v>
      </c>
      <c r="G20" s="9" t="b">
        <v>0</v>
      </c>
      <c r="H20" s="13">
        <f>IF(F20,0.6,0)+IF(G20,0.4,0)</f>
        <v/>
      </c>
      <c r="I20" s="10" t="inlineStr"/>
    </row>
    <row r="21">
      <c r="A21" s="10" t="inlineStr">
        <is>
          <t>Mock Test</t>
        </is>
      </c>
      <c r="B21" s="10" t="inlineStr">
        <is>
          <t>Section B Mini Test 5</t>
        </is>
      </c>
      <c r="C21" s="10" t="inlineStr">
        <is>
          <t>Sarrthi IAS</t>
        </is>
      </c>
      <c r="D21" s="10" t="inlineStr">
        <is>
          <t>1.5 hr</t>
        </is>
      </c>
      <c r="E21" s="9" t="inlineStr"/>
      <c r="F21" s="9" t="b">
        <v>0</v>
      </c>
      <c r="G21" s="9" t="b">
        <v>0</v>
      </c>
      <c r="H21" s="13">
        <f>IF(F21,0.6,0)+IF(G21,0.4,0)</f>
        <v/>
      </c>
      <c r="I21" s="10" t="inlineStr"/>
    </row>
    <row r="22">
      <c r="A22" s="10" t="inlineStr">
        <is>
          <t>Mock Test</t>
        </is>
      </c>
      <c r="B22" s="10" t="inlineStr">
        <is>
          <t>Section B Mini Test 6</t>
        </is>
      </c>
      <c r="C22" s="10" t="inlineStr">
        <is>
          <t>Sarrthi IAS</t>
        </is>
      </c>
      <c r="D22" s="10" t="inlineStr">
        <is>
          <t>1.5 hr</t>
        </is>
      </c>
      <c r="E22" s="9" t="inlineStr"/>
      <c r="F22" s="9" t="b">
        <v>0</v>
      </c>
      <c r="G22" s="9" t="b">
        <v>0</v>
      </c>
      <c r="H22" s="13">
        <f>IF(F22,0.6,0)+IF(G22,0.4,0)</f>
        <v/>
      </c>
      <c r="I22" s="10" t="inlineStr"/>
    </row>
    <row r="23">
      <c r="A23" s="10" t="inlineStr">
        <is>
          <t>Mock Test</t>
        </is>
      </c>
      <c r="B23" s="10" t="inlineStr">
        <is>
          <t>Full Mock 1</t>
        </is>
      </c>
      <c r="C23" s="10" t="inlineStr">
        <is>
          <t>Sarrthi IAS</t>
        </is>
      </c>
      <c r="D23" s="10" t="inlineStr">
        <is>
          <t>3.5 hr</t>
        </is>
      </c>
      <c r="E23" s="9" t="inlineStr"/>
      <c r="F23" s="9" t="b">
        <v>0</v>
      </c>
      <c r="G23" s="9" t="b">
        <v>0</v>
      </c>
      <c r="H23" s="13">
        <f>IF(F23,0.6,0)+IF(G23,0.4,0)</f>
        <v/>
      </c>
      <c r="I23" s="10" t="inlineStr"/>
    </row>
    <row r="24">
      <c r="A24" s="10" t="inlineStr">
        <is>
          <t>Mock Test</t>
        </is>
      </c>
      <c r="B24" s="10" t="inlineStr">
        <is>
          <t>Full Mock 2</t>
        </is>
      </c>
      <c r="C24" s="10" t="inlineStr">
        <is>
          <t>Sarrthi IAS</t>
        </is>
      </c>
      <c r="D24" s="10" t="inlineStr">
        <is>
          <t>3.5 hr</t>
        </is>
      </c>
      <c r="E24" s="9" t="inlineStr"/>
      <c r="F24" s="9" t="b">
        <v>0</v>
      </c>
      <c r="G24" s="9" t="b">
        <v>0</v>
      </c>
      <c r="H24" s="13">
        <f>IF(F24,0.6,0)+IF(G24,0.4,0)</f>
        <v/>
      </c>
      <c r="I24" s="10" t="inlineStr"/>
    </row>
    <row r="25">
      <c r="A25" s="10" t="inlineStr">
        <is>
          <t>Mock Test</t>
        </is>
      </c>
      <c r="B25" s="10" t="inlineStr">
        <is>
          <t>Self Assessment Test #0</t>
        </is>
      </c>
      <c r="C25" s="10" t="inlineStr">
        <is>
          <t>Smartworks (SWL)</t>
        </is>
      </c>
      <c r="D25" s="10" t="inlineStr">
        <is>
          <t>90 min</t>
        </is>
      </c>
      <c r="E25" s="9" t="inlineStr"/>
      <c r="F25" s="9" t="b">
        <v>0</v>
      </c>
      <c r="G25" s="9" t="b">
        <v>0</v>
      </c>
      <c r="H25" s="13">
        <f>IF(F25,0.6,0)+IF(G25,0.4,0)</f>
        <v/>
      </c>
      <c r="I25" s="10" t="inlineStr"/>
    </row>
    <row r="26">
      <c r="A26" s="10" t="inlineStr">
        <is>
          <t>Mock Test</t>
        </is>
      </c>
      <c r="B26" s="10" t="inlineStr">
        <is>
          <t>Full Mock Test 2608</t>
        </is>
      </c>
      <c r="C26" s="10" t="inlineStr">
        <is>
          <t>Smartworks (SWL)</t>
        </is>
      </c>
      <c r="D26" s="10" t="inlineStr">
        <is>
          <t>4 hr</t>
        </is>
      </c>
      <c r="E26" s="9" t="inlineStr"/>
      <c r="F26" s="9" t="b">
        <v>0</v>
      </c>
      <c r="G26" s="9" t="b">
        <v>0</v>
      </c>
      <c r="H26" s="13">
        <f>IF(F26,0.6,0)+IF(G26,0.4,0)</f>
        <v/>
      </c>
      <c r="I26" s="10" t="inlineStr"/>
    </row>
    <row r="27">
      <c r="A27" s="10" t="inlineStr">
        <is>
          <t>Mock Test</t>
        </is>
      </c>
      <c r="B27" s="10" t="inlineStr">
        <is>
          <t>Mini Test 4</t>
        </is>
      </c>
      <c r="C27" s="10" t="inlineStr">
        <is>
          <t>Smartworks (SWL)</t>
        </is>
      </c>
      <c r="D27" s="10" t="inlineStr">
        <is>
          <t>60 min</t>
        </is>
      </c>
      <c r="E27" s="9" t="inlineStr"/>
      <c r="F27" s="9" t="b">
        <v>0</v>
      </c>
      <c r="G27" s="9" t="b">
        <v>0</v>
      </c>
      <c r="H27" s="13">
        <f>IF(F27,0.6,0)+IF(G27,0.4,0)</f>
        <v/>
      </c>
      <c r="I27" s="10" t="inlineStr"/>
    </row>
    <row r="28">
      <c r="A28" s="10" t="inlineStr">
        <is>
          <t>Mock Test</t>
        </is>
      </c>
      <c r="B28" s="10" t="inlineStr">
        <is>
          <t>Mini Test 5</t>
        </is>
      </c>
      <c r="C28" s="10" t="inlineStr">
        <is>
          <t>Smartworks (SWL)</t>
        </is>
      </c>
      <c r="D28" s="10" t="inlineStr">
        <is>
          <t>60 min</t>
        </is>
      </c>
      <c r="E28" s="9" t="inlineStr"/>
      <c r="F28" s="9" t="b">
        <v>0</v>
      </c>
      <c r="G28" s="9" t="b">
        <v>0</v>
      </c>
      <c r="H28" s="13">
        <f>IF(F28,0.6,0)+IF(G28,0.4,0)</f>
        <v/>
      </c>
      <c r="I28" s="10" t="inlineStr"/>
    </row>
    <row r="29">
      <c r="A29" s="10" t="inlineStr">
        <is>
          <t>Mock Test</t>
        </is>
      </c>
      <c r="B29" s="10" t="inlineStr">
        <is>
          <t>Full Test #2</t>
        </is>
      </c>
      <c r="C29" s="10" t="inlineStr">
        <is>
          <t>Smartworks (SWL)</t>
        </is>
      </c>
      <c r="D29" s="10" t="inlineStr">
        <is>
          <t>4 hr</t>
        </is>
      </c>
      <c r="E29" s="9" t="inlineStr"/>
      <c r="F29" s="9" t="b">
        <v>0</v>
      </c>
      <c r="G29" s="9" t="b">
        <v>0</v>
      </c>
      <c r="H29" s="13">
        <f>IF(F29,0.6,0)+IF(G29,0.4,0)</f>
        <v/>
      </c>
      <c r="I29" s="10" t="inlineStr"/>
    </row>
    <row r="30">
      <c r="A30" s="10" t="inlineStr">
        <is>
          <t>Mock Test</t>
        </is>
      </c>
      <c r="B30" s="10" t="inlineStr">
        <is>
          <t>Full Mock</t>
        </is>
      </c>
      <c r="C30" s="10" t="inlineStr">
        <is>
          <t>Insights IAS</t>
        </is>
      </c>
      <c r="D30" s="10" t="inlineStr">
        <is>
          <t>4 hr</t>
        </is>
      </c>
      <c r="E30" s="9" t="inlineStr"/>
      <c r="F30" s="9" t="b">
        <v>0</v>
      </c>
      <c r="G30" s="9" t="b">
        <v>0</v>
      </c>
      <c r="H30" s="13">
        <f>IF(F30,0.6,0)+IF(G30,0.4,0)</f>
        <v/>
      </c>
      <c r="I30" s="10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19" customWidth="1" min="4" max="4"/>
    <col width="15" customWidth="1" min="5" max="5"/>
    <col width="19" customWidth="1" min="6" max="6"/>
    <col width="22" customWidth="1" min="7" max="7"/>
    <col width="32" customWidth="1" min="8" max="8"/>
    <col width="12" customWidth="1" min="9" max="9"/>
  </cols>
  <sheetData>
    <row r="1" ht="30" customHeight="1">
      <c r="A1" s="1" t="inlineStr">
        <is>
          <t>UPSC Mains — GS-3 Tracker</t>
        </is>
      </c>
    </row>
    <row r="2" ht="18" customHeight="1">
      <c r="A2" s="2" t="inlineStr">
        <is>
          <t>Economy, Environment, Agriculture, Science &amp; Tech, Disaster Mgmt</t>
        </is>
      </c>
    </row>
    <row r="3" ht="20" customHeight="1">
      <c r="A3" s="3">
        <f>"Progress "&amp;TEXT(AVERAGE(H5:H35),"0%")&amp;"   "&amp;REPT("█",ROUND(AVERAGE(H5:H35)*20,0))&amp;REPT("░",20-ROUND(AVERAGE(H5:H35)*20,0))&amp;"  ·  Total Items: 31  ·  Completed: "&amp;COUNTIF(H5:H35,1)</f>
        <v/>
      </c>
    </row>
    <row r="4" ht="24" customHeight="1">
      <c r="A4" s="12" t="inlineStr">
        <is>
          <t>Subject / Domain</t>
        </is>
      </c>
      <c r="B4" s="12" t="inlineStr">
        <is>
          <t>Type / Test Name</t>
        </is>
      </c>
      <c r="C4" s="12" t="inlineStr">
        <is>
          <t>Source / Details</t>
        </is>
      </c>
      <c r="D4" s="12" t="inlineStr">
        <is>
          <t>Target Duration</t>
        </is>
      </c>
      <c r="E4" s="12" t="inlineStr">
        <is>
          <t>Target Date</t>
        </is>
      </c>
      <c r="F4" s="12" t="inlineStr">
        <is>
          <t>Notes / Written</t>
        </is>
      </c>
      <c r="G4" s="12" t="inlineStr">
        <is>
          <t>Review / Evaluated</t>
        </is>
      </c>
      <c r="H4" s="12" t="inlineStr">
        <is>
          <t>Progress %</t>
        </is>
      </c>
      <c r="I4" s="12" t="inlineStr">
        <is>
          <t>Remarks</t>
        </is>
      </c>
    </row>
    <row r="5">
      <c r="A5" s="10" t="inlineStr">
        <is>
          <t>Economy</t>
        </is>
      </c>
      <c r="B5" s="10" t="inlineStr">
        <is>
          <t>Foundation Notes (3 NBs)</t>
        </is>
      </c>
      <c r="C5" s="10" t="inlineStr">
        <is>
          <t>Foundation</t>
        </is>
      </c>
      <c r="D5" s="10" t="inlineStr">
        <is>
          <t>3 Notebooks</t>
        </is>
      </c>
      <c r="E5" s="9" t="inlineStr"/>
      <c r="F5" s="9" t="b">
        <v>0</v>
      </c>
      <c r="G5" s="9" t="b">
        <v>0</v>
      </c>
      <c r="H5" s="13">
        <f>IF(F5,0.6,0)+IF(G5,0.4,0)</f>
        <v/>
      </c>
      <c r="I5" s="10" t="inlineStr"/>
    </row>
    <row r="6">
      <c r="A6" s="10" t="inlineStr">
        <is>
          <t>Economy</t>
        </is>
      </c>
      <c r="B6" s="10" t="inlineStr">
        <is>
          <t>Revision Notebook</t>
        </is>
      </c>
      <c r="C6" s="10" t="inlineStr">
        <is>
          <t>Self Revision</t>
        </is>
      </c>
      <c r="D6" s="10" t="inlineStr">
        <is>
          <t>1 Notebook</t>
        </is>
      </c>
      <c r="E6" s="9" t="inlineStr"/>
      <c r="F6" s="9" t="b">
        <v>0</v>
      </c>
      <c r="G6" s="9" t="b">
        <v>0</v>
      </c>
      <c r="H6" s="13">
        <f>IF(F6,0.6,0)+IF(G6,0.4,0)</f>
        <v/>
      </c>
      <c r="I6" s="10" t="inlineStr"/>
    </row>
    <row r="7">
      <c r="A7" s="10" t="inlineStr">
        <is>
          <t>Economy</t>
        </is>
      </c>
      <c r="B7" s="10" t="inlineStr">
        <is>
          <t>Sarrthi Handout</t>
        </is>
      </c>
      <c r="C7" s="10" t="inlineStr">
        <is>
          <t>Sarrthi IAS</t>
        </is>
      </c>
      <c r="D7" s="10" t="inlineStr">
        <is>
          <t>Handout</t>
        </is>
      </c>
      <c r="E7" s="9" t="inlineStr"/>
      <c r="F7" s="9" t="b">
        <v>0</v>
      </c>
      <c r="G7" s="9" t="b">
        <v>0</v>
      </c>
      <c r="H7" s="13">
        <f>IF(F7,0.6,0)+IF(G7,0.4,0)</f>
        <v/>
      </c>
      <c r="I7" s="10" t="inlineStr"/>
    </row>
    <row r="8">
      <c r="A8" s="10" t="inlineStr">
        <is>
          <t>Environment</t>
        </is>
      </c>
      <c r="B8" s="10" t="inlineStr">
        <is>
          <t>Foundation Notes (3 NBs)</t>
        </is>
      </c>
      <c r="C8" s="10" t="inlineStr">
        <is>
          <t>Foundation</t>
        </is>
      </c>
      <c r="D8" s="10" t="inlineStr">
        <is>
          <t>3 Notebooks</t>
        </is>
      </c>
      <c r="E8" s="9" t="inlineStr"/>
      <c r="F8" s="9" t="b">
        <v>0</v>
      </c>
      <c r="G8" s="9" t="b">
        <v>0</v>
      </c>
      <c r="H8" s="13">
        <f>IF(F8,0.6,0)+IF(G8,0.4,0)</f>
        <v/>
      </c>
      <c r="I8" s="10" t="inlineStr"/>
    </row>
    <row r="9">
      <c r="A9" s="10" t="inlineStr">
        <is>
          <t>Environment</t>
        </is>
      </c>
      <c r="B9" s="10" t="inlineStr">
        <is>
          <t>Revision Notebook</t>
        </is>
      </c>
      <c r="C9" s="10" t="inlineStr">
        <is>
          <t>Self Revision</t>
        </is>
      </c>
      <c r="D9" s="10" t="inlineStr">
        <is>
          <t>1 Notebook</t>
        </is>
      </c>
      <c r="E9" s="9" t="inlineStr"/>
      <c r="F9" s="9" t="b">
        <v>0</v>
      </c>
      <c r="G9" s="9" t="b">
        <v>0</v>
      </c>
      <c r="H9" s="13">
        <f>IF(F9,0.6,0)+IF(G9,0.4,0)</f>
        <v/>
      </c>
      <c r="I9" s="10" t="inlineStr"/>
    </row>
    <row r="10">
      <c r="A10" s="10" t="inlineStr">
        <is>
          <t>Environment</t>
        </is>
      </c>
      <c r="B10" s="10" t="inlineStr">
        <is>
          <t>Sarrthi Handout</t>
        </is>
      </c>
      <c r="C10" s="10" t="inlineStr">
        <is>
          <t>Sarrthi IAS</t>
        </is>
      </c>
      <c r="D10" s="10" t="inlineStr">
        <is>
          <t>Handout</t>
        </is>
      </c>
      <c r="E10" s="9" t="inlineStr"/>
      <c r="F10" s="9" t="b">
        <v>0</v>
      </c>
      <c r="G10" s="9" t="b">
        <v>0</v>
      </c>
      <c r="H10" s="13">
        <f>IF(F10,0.6,0)+IF(G10,0.4,0)</f>
        <v/>
      </c>
      <c r="I10" s="10" t="inlineStr"/>
    </row>
    <row r="11">
      <c r="A11" s="10" t="inlineStr">
        <is>
          <t>Agriculture</t>
        </is>
      </c>
      <c r="B11" s="10" t="inlineStr">
        <is>
          <t>Foundation Notes (3 NBs)</t>
        </is>
      </c>
      <c r="C11" s="10" t="inlineStr">
        <is>
          <t>Foundation</t>
        </is>
      </c>
      <c r="D11" s="10" t="inlineStr">
        <is>
          <t>3 Notebooks</t>
        </is>
      </c>
      <c r="E11" s="9" t="inlineStr"/>
      <c r="F11" s="9" t="b">
        <v>0</v>
      </c>
      <c r="G11" s="9" t="b">
        <v>0</v>
      </c>
      <c r="H11" s="13">
        <f>IF(F11,0.6,0)+IF(G11,0.4,0)</f>
        <v/>
      </c>
      <c r="I11" s="10" t="inlineStr"/>
    </row>
    <row r="12">
      <c r="A12" s="10" t="inlineStr">
        <is>
          <t>Agriculture</t>
        </is>
      </c>
      <c r="B12" s="10" t="inlineStr">
        <is>
          <t>Revision Notebook</t>
        </is>
      </c>
      <c r="C12" s="10" t="inlineStr">
        <is>
          <t>Self Revision</t>
        </is>
      </c>
      <c r="D12" s="10" t="inlineStr">
        <is>
          <t>1 Notebook</t>
        </is>
      </c>
      <c r="E12" s="9" t="inlineStr"/>
      <c r="F12" s="9" t="b">
        <v>0</v>
      </c>
      <c r="G12" s="9" t="b">
        <v>0</v>
      </c>
      <c r="H12" s="13">
        <f>IF(F12,0.6,0)+IF(G12,0.4,0)</f>
        <v/>
      </c>
      <c r="I12" s="10" t="inlineStr"/>
    </row>
    <row r="13">
      <c r="A13" s="10" t="inlineStr">
        <is>
          <t>Agriculture</t>
        </is>
      </c>
      <c r="B13" s="10" t="inlineStr">
        <is>
          <t>Sarrthi Handout</t>
        </is>
      </c>
      <c r="C13" s="10" t="inlineStr">
        <is>
          <t>Sarrthi IAS</t>
        </is>
      </c>
      <c r="D13" s="10" t="inlineStr">
        <is>
          <t>Handout</t>
        </is>
      </c>
      <c r="E13" s="9" t="inlineStr"/>
      <c r="F13" s="9" t="b">
        <v>0</v>
      </c>
      <c r="G13" s="9" t="b">
        <v>0</v>
      </c>
      <c r="H13" s="13">
        <f>IF(F13,0.6,0)+IF(G13,0.4,0)</f>
        <v/>
      </c>
      <c r="I13" s="10" t="inlineStr"/>
    </row>
    <row r="14">
      <c r="A14" s="10" t="inlineStr">
        <is>
          <t>Science &amp; Tech</t>
        </is>
      </c>
      <c r="B14" s="10" t="inlineStr">
        <is>
          <t>Foundation Notes (3 NBs)</t>
        </is>
      </c>
      <c r="C14" s="10" t="inlineStr">
        <is>
          <t>Foundation</t>
        </is>
      </c>
      <c r="D14" s="10" t="inlineStr">
        <is>
          <t>3 Notebooks</t>
        </is>
      </c>
      <c r="E14" s="9" t="inlineStr"/>
      <c r="F14" s="9" t="b">
        <v>0</v>
      </c>
      <c r="G14" s="9" t="b">
        <v>0</v>
      </c>
      <c r="H14" s="13">
        <f>IF(F14,0.6,0)+IF(G14,0.4,0)</f>
        <v/>
      </c>
      <c r="I14" s="10" t="inlineStr"/>
    </row>
    <row r="15">
      <c r="A15" s="10" t="inlineStr">
        <is>
          <t>Science &amp; Tech</t>
        </is>
      </c>
      <c r="B15" s="10" t="inlineStr">
        <is>
          <t>Revision Notebook</t>
        </is>
      </c>
      <c r="C15" s="10" t="inlineStr">
        <is>
          <t>Self Revision</t>
        </is>
      </c>
      <c r="D15" s="10" t="inlineStr">
        <is>
          <t>1 Notebook</t>
        </is>
      </c>
      <c r="E15" s="9" t="inlineStr"/>
      <c r="F15" s="9" t="b">
        <v>0</v>
      </c>
      <c r="G15" s="9" t="b">
        <v>0</v>
      </c>
      <c r="H15" s="13">
        <f>IF(F15,0.6,0)+IF(G15,0.4,0)</f>
        <v/>
      </c>
      <c r="I15" s="10" t="inlineStr"/>
    </row>
    <row r="16">
      <c r="A16" s="10" t="inlineStr">
        <is>
          <t>Science &amp; Tech</t>
        </is>
      </c>
      <c r="B16" s="10" t="inlineStr">
        <is>
          <t>Sarrthi Handout</t>
        </is>
      </c>
      <c r="C16" s="10" t="inlineStr">
        <is>
          <t>Sarrthi IAS</t>
        </is>
      </c>
      <c r="D16" s="10" t="inlineStr">
        <is>
          <t>Handout</t>
        </is>
      </c>
      <c r="E16" s="9" t="inlineStr"/>
      <c r="F16" s="9" t="b">
        <v>0</v>
      </c>
      <c r="G16" s="9" t="b">
        <v>0</v>
      </c>
      <c r="H16" s="13">
        <f>IF(F16,0.6,0)+IF(G16,0.4,0)</f>
        <v/>
      </c>
      <c r="I16" s="10" t="inlineStr"/>
    </row>
    <row r="17">
      <c r="A17" s="10" t="inlineStr">
        <is>
          <t>Disaster Mgmt</t>
        </is>
      </c>
      <c r="B17" s="10" t="inlineStr">
        <is>
          <t>Foundation Notes (3 NBs)</t>
        </is>
      </c>
      <c r="C17" s="10" t="inlineStr">
        <is>
          <t>Foundation</t>
        </is>
      </c>
      <c r="D17" s="10" t="inlineStr">
        <is>
          <t>3 Notebooks</t>
        </is>
      </c>
      <c r="E17" s="9" t="inlineStr"/>
      <c r="F17" s="9" t="b">
        <v>0</v>
      </c>
      <c r="G17" s="9" t="b">
        <v>0</v>
      </c>
      <c r="H17" s="13">
        <f>IF(F17,0.6,0)+IF(G17,0.4,0)</f>
        <v/>
      </c>
      <c r="I17" s="10" t="inlineStr"/>
    </row>
    <row r="18">
      <c r="A18" s="10" t="inlineStr">
        <is>
          <t>Disaster Mgmt</t>
        </is>
      </c>
      <c r="B18" s="10" t="inlineStr">
        <is>
          <t>Revision Notebook</t>
        </is>
      </c>
      <c r="C18" s="10" t="inlineStr">
        <is>
          <t>Self Revision</t>
        </is>
      </c>
      <c r="D18" s="10" t="inlineStr">
        <is>
          <t>1 Notebook</t>
        </is>
      </c>
      <c r="E18" s="9" t="inlineStr"/>
      <c r="F18" s="9" t="b">
        <v>0</v>
      </c>
      <c r="G18" s="9" t="b">
        <v>0</v>
      </c>
      <c r="H18" s="13">
        <f>IF(F18,0.6,0)+IF(G18,0.4,0)</f>
        <v/>
      </c>
      <c r="I18" s="10" t="inlineStr"/>
    </row>
    <row r="19">
      <c r="A19" s="10" t="inlineStr">
        <is>
          <t>Disaster Mgmt</t>
        </is>
      </c>
      <c r="B19" s="10" t="inlineStr">
        <is>
          <t>Sarrthi Handout</t>
        </is>
      </c>
      <c r="C19" s="10" t="inlineStr">
        <is>
          <t>Sarrthi IAS</t>
        </is>
      </c>
      <c r="D19" s="10" t="inlineStr">
        <is>
          <t>Handout</t>
        </is>
      </c>
      <c r="E19" s="9" t="inlineStr"/>
      <c r="F19" s="9" t="b">
        <v>0</v>
      </c>
      <c r="G19" s="9" t="b">
        <v>0</v>
      </c>
      <c r="H19" s="13">
        <f>IF(F19,0.6,0)+IF(G19,0.4,0)</f>
        <v/>
      </c>
      <c r="I19" s="10" t="inlineStr"/>
    </row>
    <row r="20">
      <c r="A20" s="10" t="inlineStr">
        <is>
          <t>GS-3 Full Mock</t>
        </is>
      </c>
      <c r="B20" s="10" t="inlineStr">
        <is>
          <t>Full Test 2606</t>
        </is>
      </c>
      <c r="C20" s="10" t="inlineStr">
        <is>
          <t>Smartworks (SWL)</t>
        </is>
      </c>
      <c r="D20" s="10" t="inlineStr">
        <is>
          <t>3.5 hr</t>
        </is>
      </c>
      <c r="E20" s="9" t="inlineStr"/>
      <c r="F20" s="9" t="b">
        <v>0</v>
      </c>
      <c r="G20" s="9" t="b">
        <v>0</v>
      </c>
      <c r="H20" s="13">
        <f>IF(F20,0.6,0)+IF(G20,0.4,0)</f>
        <v/>
      </c>
      <c r="I20" s="10" t="inlineStr"/>
    </row>
    <row r="21">
      <c r="A21" s="10" t="inlineStr">
        <is>
          <t>GS-3 Full Mock</t>
        </is>
      </c>
      <c r="B21" s="10" t="inlineStr">
        <is>
          <t>Full Test 2607-H</t>
        </is>
      </c>
      <c r="C21" s="10" t="inlineStr">
        <is>
          <t>Smartworks (SWL)</t>
        </is>
      </c>
      <c r="D21" s="10" t="inlineStr">
        <is>
          <t>3.5 hr</t>
        </is>
      </c>
      <c r="E21" s="9" t="inlineStr"/>
      <c r="F21" s="9" t="b">
        <v>0</v>
      </c>
      <c r="G21" s="9" t="b">
        <v>0</v>
      </c>
      <c r="H21" s="13">
        <f>IF(F21,0.6,0)+IF(G21,0.4,0)</f>
        <v/>
      </c>
      <c r="I21" s="10" t="inlineStr"/>
    </row>
    <row r="22">
      <c r="A22" s="10" t="inlineStr">
        <is>
          <t>GS-3 Full Mock</t>
        </is>
      </c>
      <c r="B22" s="10" t="inlineStr">
        <is>
          <t>Full Test 2602-F</t>
        </is>
      </c>
      <c r="C22" s="10" t="inlineStr">
        <is>
          <t>Smartworks (SWL)</t>
        </is>
      </c>
      <c r="D22" s="10" t="inlineStr">
        <is>
          <t>3.5 hr</t>
        </is>
      </c>
      <c r="E22" s="9" t="inlineStr"/>
      <c r="F22" s="9" t="b">
        <v>0</v>
      </c>
      <c r="G22" s="9" t="b">
        <v>0</v>
      </c>
      <c r="H22" s="13">
        <f>IF(F22,0.6,0)+IF(G22,0.4,0)</f>
        <v/>
      </c>
      <c r="I22" s="10" t="inlineStr"/>
    </row>
    <row r="23">
      <c r="A23" s="10" t="inlineStr">
        <is>
          <t>GS-3 Full Mock</t>
        </is>
      </c>
      <c r="B23" s="10" t="inlineStr">
        <is>
          <t>Full Test 2608</t>
        </is>
      </c>
      <c r="C23" s="10" t="inlineStr">
        <is>
          <t>Smartworks (SWL)</t>
        </is>
      </c>
      <c r="D23" s="10" t="inlineStr">
        <is>
          <t>3.5 hr</t>
        </is>
      </c>
      <c r="E23" s="9" t="inlineStr"/>
      <c r="F23" s="9" t="b">
        <v>0</v>
      </c>
      <c r="G23" s="9" t="b">
        <v>0</v>
      </c>
      <c r="H23" s="13">
        <f>IF(F23,0.6,0)+IF(G23,0.4,0)</f>
        <v/>
      </c>
      <c r="I23" s="10" t="inlineStr"/>
    </row>
    <row r="24">
      <c r="A24" s="10" t="inlineStr">
        <is>
          <t>GS-3 Full Mock</t>
        </is>
      </c>
      <c r="B24" s="10" t="inlineStr">
        <is>
          <t>Full Test 2607</t>
        </is>
      </c>
      <c r="C24" s="10" t="inlineStr">
        <is>
          <t>Smartworks (SWL)</t>
        </is>
      </c>
      <c r="D24" s="10" t="inlineStr">
        <is>
          <t>3.5 hr</t>
        </is>
      </c>
      <c r="E24" s="9" t="inlineStr"/>
      <c r="F24" s="9" t="b">
        <v>0</v>
      </c>
      <c r="G24" s="9" t="b">
        <v>0</v>
      </c>
      <c r="H24" s="13">
        <f>IF(F24,0.6,0)+IF(G24,0.4,0)</f>
        <v/>
      </c>
      <c r="I24" s="10" t="inlineStr"/>
    </row>
    <row r="25">
      <c r="A25" s="10" t="inlineStr">
        <is>
          <t>GS-3 Full Mock</t>
        </is>
      </c>
      <c r="B25" s="10" t="inlineStr">
        <is>
          <t>Full Test 2607-S</t>
        </is>
      </c>
      <c r="C25" s="10" t="inlineStr">
        <is>
          <t>Smartworks (SWL)</t>
        </is>
      </c>
      <c r="D25" s="10" t="inlineStr">
        <is>
          <t>3.5 hr</t>
        </is>
      </c>
      <c r="E25" s="9" t="inlineStr"/>
      <c r="F25" s="9" t="b">
        <v>0</v>
      </c>
      <c r="G25" s="9" t="b">
        <v>0</v>
      </c>
      <c r="H25" s="13">
        <f>IF(F25,0.6,0)+IF(G25,0.4,0)</f>
        <v/>
      </c>
      <c r="I25" s="10" t="inlineStr"/>
    </row>
    <row r="26">
      <c r="A26" s="10" t="inlineStr">
        <is>
          <t>GS-3 Sectional</t>
        </is>
      </c>
      <c r="B26" s="10" t="inlineStr">
        <is>
          <t>Practice Test 1</t>
        </is>
      </c>
      <c r="C26" s="10" t="inlineStr">
        <is>
          <t>Smartworks (SWL)</t>
        </is>
      </c>
      <c r="D26" s="10" t="inlineStr">
        <is>
          <t>60 min</t>
        </is>
      </c>
      <c r="E26" s="9" t="inlineStr"/>
      <c r="F26" s="9" t="b">
        <v>0</v>
      </c>
      <c r="G26" s="9" t="b">
        <v>0</v>
      </c>
      <c r="H26" s="13">
        <f>IF(F26,0.6,0)+IF(G26,0.4,0)</f>
        <v/>
      </c>
      <c r="I26" s="10" t="inlineStr"/>
    </row>
    <row r="27">
      <c r="A27" s="10" t="inlineStr">
        <is>
          <t>GS-3 Sectional</t>
        </is>
      </c>
      <c r="B27" s="10" t="inlineStr">
        <is>
          <t>Practice Test 2</t>
        </is>
      </c>
      <c r="C27" s="10" t="inlineStr">
        <is>
          <t>Smartworks (SWL)</t>
        </is>
      </c>
      <c r="D27" s="10" t="inlineStr">
        <is>
          <t>60 min</t>
        </is>
      </c>
      <c r="E27" s="9" t="inlineStr"/>
      <c r="F27" s="9" t="b">
        <v>0</v>
      </c>
      <c r="G27" s="9" t="b">
        <v>0</v>
      </c>
      <c r="H27" s="13">
        <f>IF(F27,0.6,0)+IF(G27,0.4,0)</f>
        <v/>
      </c>
      <c r="I27" s="10" t="inlineStr"/>
    </row>
    <row r="28">
      <c r="A28" s="10" t="inlineStr">
        <is>
          <t>GS-3 Sectional</t>
        </is>
      </c>
      <c r="B28" s="10" t="inlineStr">
        <is>
          <t>Practice Test 3</t>
        </is>
      </c>
      <c r="C28" s="10" t="inlineStr">
        <is>
          <t>Smartworks (SWL)</t>
        </is>
      </c>
      <c r="D28" s="10" t="inlineStr">
        <is>
          <t>60 min</t>
        </is>
      </c>
      <c r="E28" s="9" t="inlineStr"/>
      <c r="F28" s="9" t="b">
        <v>0</v>
      </c>
      <c r="G28" s="9" t="b">
        <v>0</v>
      </c>
      <c r="H28" s="13">
        <f>IF(F28,0.6,0)+IF(G28,0.4,0)</f>
        <v/>
      </c>
      <c r="I28" s="10" t="inlineStr"/>
    </row>
    <row r="29">
      <c r="A29" s="10" t="inlineStr">
        <is>
          <t>GS-3 Sectional</t>
        </is>
      </c>
      <c r="B29" s="10" t="inlineStr">
        <is>
          <t>Practice Test 4</t>
        </is>
      </c>
      <c r="C29" s="10" t="inlineStr">
        <is>
          <t>Smartworks (SWL)</t>
        </is>
      </c>
      <c r="D29" s="10" t="inlineStr">
        <is>
          <t>60 min</t>
        </is>
      </c>
      <c r="E29" s="9" t="inlineStr"/>
      <c r="F29" s="9" t="b">
        <v>0</v>
      </c>
      <c r="G29" s="9" t="b">
        <v>0</v>
      </c>
      <c r="H29" s="13">
        <f>IF(F29,0.6,0)+IF(G29,0.4,0)</f>
        <v/>
      </c>
      <c r="I29" s="10" t="inlineStr"/>
    </row>
    <row r="30">
      <c r="A30" s="10" t="inlineStr">
        <is>
          <t>GS-3 Sectional</t>
        </is>
      </c>
      <c r="B30" s="10" t="inlineStr">
        <is>
          <t>Practice Test 5</t>
        </is>
      </c>
      <c r="C30" s="10" t="inlineStr">
        <is>
          <t>Smartworks (SWL)</t>
        </is>
      </c>
      <c r="D30" s="10" t="inlineStr">
        <is>
          <t>60 min</t>
        </is>
      </c>
      <c r="E30" s="9" t="inlineStr"/>
      <c r="F30" s="9" t="b">
        <v>0</v>
      </c>
      <c r="G30" s="9" t="b">
        <v>0</v>
      </c>
      <c r="H30" s="13">
        <f>IF(F30,0.6,0)+IF(G30,0.4,0)</f>
        <v/>
      </c>
      <c r="I30" s="10" t="inlineStr"/>
    </row>
    <row r="31">
      <c r="A31" s="10" t="inlineStr">
        <is>
          <t>GS-3 Sectional</t>
        </is>
      </c>
      <c r="B31" s="10" t="inlineStr">
        <is>
          <t>Practice Test 6</t>
        </is>
      </c>
      <c r="C31" s="10" t="inlineStr">
        <is>
          <t>Smartworks (SWL)</t>
        </is>
      </c>
      <c r="D31" s="10" t="inlineStr">
        <is>
          <t>60 min</t>
        </is>
      </c>
      <c r="E31" s="9" t="inlineStr"/>
      <c r="F31" s="9" t="b">
        <v>0</v>
      </c>
      <c r="G31" s="9" t="b">
        <v>0</v>
      </c>
      <c r="H31" s="13">
        <f>IF(F31,0.6,0)+IF(G31,0.4,0)</f>
        <v/>
      </c>
      <c r="I31" s="10" t="inlineStr"/>
    </row>
    <row r="32">
      <c r="A32" s="10" t="inlineStr">
        <is>
          <t>GS-3 Sectional</t>
        </is>
      </c>
      <c r="B32" s="10" t="inlineStr">
        <is>
          <t>Practice Test 7</t>
        </is>
      </c>
      <c r="C32" s="10" t="inlineStr">
        <is>
          <t>Smartworks (SWL)</t>
        </is>
      </c>
      <c r="D32" s="10" t="inlineStr">
        <is>
          <t>60 min</t>
        </is>
      </c>
      <c r="E32" s="9" t="inlineStr"/>
      <c r="F32" s="9" t="b">
        <v>0</v>
      </c>
      <c r="G32" s="9" t="b">
        <v>0</v>
      </c>
      <c r="H32" s="13">
        <f>IF(F32,0.6,0)+IF(G32,0.4,0)</f>
        <v/>
      </c>
      <c r="I32" s="10" t="inlineStr"/>
    </row>
    <row r="33">
      <c r="A33" s="10" t="inlineStr">
        <is>
          <t>GS-3 Sectional</t>
        </is>
      </c>
      <c r="B33" s="10" t="inlineStr">
        <is>
          <t>Practice Test 8</t>
        </is>
      </c>
      <c r="C33" s="10" t="inlineStr">
        <is>
          <t>Smartworks (SWL)</t>
        </is>
      </c>
      <c r="D33" s="10" t="inlineStr">
        <is>
          <t>60 min</t>
        </is>
      </c>
      <c r="E33" s="9" t="inlineStr"/>
      <c r="F33" s="9" t="b">
        <v>0</v>
      </c>
      <c r="G33" s="9" t="b">
        <v>0</v>
      </c>
      <c r="H33" s="13">
        <f>IF(F33,0.6,0)+IF(G33,0.4,0)</f>
        <v/>
      </c>
      <c r="I33" s="10" t="inlineStr"/>
    </row>
    <row r="34">
      <c r="A34" s="10" t="inlineStr">
        <is>
          <t>GS-3 Sectional</t>
        </is>
      </c>
      <c r="B34" s="10" t="inlineStr">
        <is>
          <t>Practice Test 9</t>
        </is>
      </c>
      <c r="C34" s="10" t="inlineStr">
        <is>
          <t>Smartworks (SWL)</t>
        </is>
      </c>
      <c r="D34" s="10" t="inlineStr">
        <is>
          <t>60 min</t>
        </is>
      </c>
      <c r="E34" s="9" t="inlineStr"/>
      <c r="F34" s="9" t="b">
        <v>0</v>
      </c>
      <c r="G34" s="9" t="b">
        <v>0</v>
      </c>
      <c r="H34" s="13">
        <f>IF(F34,0.6,0)+IF(G34,0.4,0)</f>
        <v/>
      </c>
      <c r="I34" s="10" t="inlineStr"/>
    </row>
    <row r="35">
      <c r="A35" s="10" t="inlineStr">
        <is>
          <t>GS-3 Sectional</t>
        </is>
      </c>
      <c r="B35" s="10" t="inlineStr">
        <is>
          <t>Practice Test 10</t>
        </is>
      </c>
      <c r="C35" s="10" t="inlineStr">
        <is>
          <t>Smartworks (SWL)</t>
        </is>
      </c>
      <c r="D35" s="10" t="inlineStr">
        <is>
          <t>60 min</t>
        </is>
      </c>
      <c r="E35" s="9" t="inlineStr"/>
      <c r="F35" s="9" t="b">
        <v>0</v>
      </c>
      <c r="G35" s="9" t="b">
        <v>0</v>
      </c>
      <c r="H35" s="13">
        <f>IF(F35,0.6,0)+IF(G35,0.4,0)</f>
        <v/>
      </c>
      <c r="I35" s="10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21" customWidth="1" min="3" max="3"/>
    <col width="23" customWidth="1" min="4" max="4"/>
    <col width="15" customWidth="1" min="5" max="5"/>
    <col width="18" customWidth="1" min="6" max="6"/>
    <col width="22" customWidth="1" min="7" max="7"/>
    <col width="32" customWidth="1" min="8" max="8"/>
    <col width="12" customWidth="1" min="9" max="9"/>
  </cols>
  <sheetData>
    <row r="1" ht="30" customHeight="1">
      <c r="A1" s="1" t="inlineStr">
        <is>
          <t>UPSC Mains — GS-1 Tracker</t>
        </is>
      </c>
    </row>
    <row r="2" ht="18" customHeight="1">
      <c r="A2" s="2" t="inlineStr">
        <is>
          <t>History, Geography, Society &amp; PYQ Brainstorming</t>
        </is>
      </c>
    </row>
    <row r="3" ht="20" customHeight="1">
      <c r="A3" s="3">
        <f>"Progress "&amp;TEXT(AVERAGE(H5:H37),"0%")&amp;"   "&amp;REPT("█",ROUND(AVERAGE(H5:H37)*20,0))&amp;REPT("░",20-ROUND(AVERAGE(H5:H37)*20,0))&amp;"  ·  Total Items: 33  ·  Completed: "&amp;COUNTIF(H5:H37,1)</f>
        <v/>
      </c>
    </row>
    <row r="4" ht="24" customHeight="1">
      <c r="A4" s="12" t="inlineStr">
        <is>
          <t>Area / Subject</t>
        </is>
      </c>
      <c r="B4" s="12" t="inlineStr">
        <is>
          <t>Task / Test Name</t>
        </is>
      </c>
      <c r="C4" s="12" t="inlineStr">
        <is>
          <t>Source / Details</t>
        </is>
      </c>
      <c r="D4" s="12" t="inlineStr">
        <is>
          <t>Target Count / Time</t>
        </is>
      </c>
      <c r="E4" s="12" t="inlineStr">
        <is>
          <t>Target Date</t>
        </is>
      </c>
      <c r="F4" s="12" t="inlineStr">
        <is>
          <t>Written / Done</t>
        </is>
      </c>
      <c r="G4" s="12" t="inlineStr">
        <is>
          <t>Review / Evaluated</t>
        </is>
      </c>
      <c r="H4" s="12" t="inlineStr">
        <is>
          <t>Progress %</t>
        </is>
      </c>
      <c r="I4" s="12" t="inlineStr">
        <is>
          <t>Remarks</t>
        </is>
      </c>
    </row>
    <row r="5">
      <c r="A5" s="10" t="inlineStr">
        <is>
          <t>Art &amp; Culture</t>
        </is>
      </c>
      <c r="B5" s="10" t="inlineStr">
        <is>
          <t>Subject Notebook</t>
        </is>
      </c>
      <c r="C5" s="10" t="inlineStr">
        <is>
          <t>Main Notes</t>
        </is>
      </c>
      <c r="D5" s="10" t="inlineStr">
        <is>
          <t>1 Notebook</t>
        </is>
      </c>
      <c r="E5" s="9" t="inlineStr"/>
      <c r="F5" s="9" t="b">
        <v>0</v>
      </c>
      <c r="G5" s="9" t="b">
        <v>0</v>
      </c>
      <c r="H5" s="13">
        <f>IF(F5,0.6,0)+IF(G5,0.4,0)</f>
        <v/>
      </c>
      <c r="I5" s="10" t="inlineStr"/>
    </row>
    <row r="6">
      <c r="A6" s="10" t="inlineStr">
        <is>
          <t>Art &amp; Culture</t>
        </is>
      </c>
      <c r="B6" s="10" t="inlineStr">
        <is>
          <t>Revision Notebook</t>
        </is>
      </c>
      <c r="C6" s="10" t="inlineStr">
        <is>
          <t>Revision</t>
        </is>
      </c>
      <c r="D6" s="10" t="inlineStr">
        <is>
          <t>1 Notebook</t>
        </is>
      </c>
      <c r="E6" s="9" t="inlineStr"/>
      <c r="F6" s="9" t="b">
        <v>0</v>
      </c>
      <c r="G6" s="9" t="b">
        <v>0</v>
      </c>
      <c r="H6" s="13">
        <f>IF(F6,0.6,0)+IF(G6,0.4,0)</f>
        <v/>
      </c>
      <c r="I6" s="10" t="inlineStr"/>
    </row>
    <row r="7">
      <c r="A7" s="10" t="inlineStr">
        <is>
          <t>Modern History</t>
        </is>
      </c>
      <c r="B7" s="10" t="inlineStr">
        <is>
          <t>Subject Notebook</t>
        </is>
      </c>
      <c r="C7" s="10" t="inlineStr">
        <is>
          <t>Main Notes</t>
        </is>
      </c>
      <c r="D7" s="10" t="inlineStr">
        <is>
          <t>1 Notebook</t>
        </is>
      </c>
      <c r="E7" s="9" t="inlineStr"/>
      <c r="F7" s="9" t="b">
        <v>0</v>
      </c>
      <c r="G7" s="9" t="b">
        <v>0</v>
      </c>
      <c r="H7" s="13">
        <f>IF(F7,0.6,0)+IF(G7,0.4,0)</f>
        <v/>
      </c>
      <c r="I7" s="10" t="inlineStr"/>
    </row>
    <row r="8">
      <c r="A8" s="10" t="inlineStr">
        <is>
          <t>Modern History</t>
        </is>
      </c>
      <c r="B8" s="10" t="inlineStr">
        <is>
          <t>Revision Notebook</t>
        </is>
      </c>
      <c r="C8" s="10" t="inlineStr">
        <is>
          <t>Revision</t>
        </is>
      </c>
      <c r="D8" s="10" t="inlineStr">
        <is>
          <t>1 Notebook</t>
        </is>
      </c>
      <c r="E8" s="9" t="inlineStr"/>
      <c r="F8" s="9" t="b">
        <v>0</v>
      </c>
      <c r="G8" s="9" t="b">
        <v>0</v>
      </c>
      <c r="H8" s="13">
        <f>IF(F8,0.6,0)+IF(G8,0.4,0)</f>
        <v/>
      </c>
      <c r="I8" s="10" t="inlineStr"/>
    </row>
    <row r="9">
      <c r="A9" s="10" t="inlineStr">
        <is>
          <t>Ancient History</t>
        </is>
      </c>
      <c r="B9" s="10" t="inlineStr">
        <is>
          <t>Subject Notebook</t>
        </is>
      </c>
      <c r="C9" s="10" t="inlineStr">
        <is>
          <t>Main Notes</t>
        </is>
      </c>
      <c r="D9" s="10" t="inlineStr">
        <is>
          <t>1 Notebook</t>
        </is>
      </c>
      <c r="E9" s="9" t="inlineStr"/>
      <c r="F9" s="9" t="b">
        <v>0</v>
      </c>
      <c r="G9" s="9" t="b">
        <v>0</v>
      </c>
      <c r="H9" s="13">
        <f>IF(F9,0.6,0)+IF(G9,0.4,0)</f>
        <v/>
      </c>
      <c r="I9" s="10" t="inlineStr"/>
    </row>
    <row r="10">
      <c r="A10" s="10" t="inlineStr">
        <is>
          <t>Ancient History</t>
        </is>
      </c>
      <c r="B10" s="10" t="inlineStr">
        <is>
          <t>Revision Notebook</t>
        </is>
      </c>
      <c r="C10" s="10" t="inlineStr">
        <is>
          <t>Revision</t>
        </is>
      </c>
      <c r="D10" s="10" t="inlineStr">
        <is>
          <t>1 Notebook</t>
        </is>
      </c>
      <c r="E10" s="9" t="inlineStr"/>
      <c r="F10" s="9" t="b">
        <v>0</v>
      </c>
      <c r="G10" s="9" t="b">
        <v>0</v>
      </c>
      <c r="H10" s="13">
        <f>IF(F10,0.6,0)+IF(G10,0.4,0)</f>
        <v/>
      </c>
      <c r="I10" s="10" t="inlineStr"/>
    </row>
    <row r="11">
      <c r="A11" s="10" t="inlineStr">
        <is>
          <t>Medieval History</t>
        </is>
      </c>
      <c r="B11" s="10" t="inlineStr">
        <is>
          <t>Subject Notebook</t>
        </is>
      </c>
      <c r="C11" s="10" t="inlineStr">
        <is>
          <t>Main Notes</t>
        </is>
      </c>
      <c r="D11" s="10" t="inlineStr">
        <is>
          <t>1 Notebook</t>
        </is>
      </c>
      <c r="E11" s="9" t="inlineStr"/>
      <c r="F11" s="9" t="b">
        <v>0</v>
      </c>
      <c r="G11" s="9" t="b">
        <v>0</v>
      </c>
      <c r="H11" s="13">
        <f>IF(F11,0.6,0)+IF(G11,0.4,0)</f>
        <v/>
      </c>
      <c r="I11" s="10" t="inlineStr"/>
    </row>
    <row r="12">
      <c r="A12" s="10" t="inlineStr">
        <is>
          <t>Medieval History</t>
        </is>
      </c>
      <c r="B12" s="10" t="inlineStr">
        <is>
          <t>Revision Notebook</t>
        </is>
      </c>
      <c r="C12" s="10" t="inlineStr">
        <is>
          <t>Revision</t>
        </is>
      </c>
      <c r="D12" s="10" t="inlineStr">
        <is>
          <t>1 Notebook</t>
        </is>
      </c>
      <c r="E12" s="9" t="inlineStr"/>
      <c r="F12" s="9" t="b">
        <v>0</v>
      </c>
      <c r="G12" s="9" t="b">
        <v>0</v>
      </c>
      <c r="H12" s="13">
        <f>IF(F12,0.6,0)+IF(G12,0.4,0)</f>
        <v/>
      </c>
      <c r="I12" s="10" t="inlineStr"/>
    </row>
    <row r="13">
      <c r="A13" s="10" t="inlineStr">
        <is>
          <t>Post-Independence</t>
        </is>
      </c>
      <c r="B13" s="10" t="inlineStr">
        <is>
          <t>Subject Notebook</t>
        </is>
      </c>
      <c r="C13" s="10" t="inlineStr">
        <is>
          <t>Main Notes</t>
        </is>
      </c>
      <c r="D13" s="10" t="inlineStr">
        <is>
          <t>1 Notebook</t>
        </is>
      </c>
      <c r="E13" s="9" t="inlineStr"/>
      <c r="F13" s="9" t="b">
        <v>0</v>
      </c>
      <c r="G13" s="9" t="b">
        <v>0</v>
      </c>
      <c r="H13" s="13">
        <f>IF(F13,0.6,0)+IF(G13,0.4,0)</f>
        <v/>
      </c>
      <c r="I13" s="10" t="inlineStr"/>
    </row>
    <row r="14">
      <c r="A14" s="10" t="inlineStr">
        <is>
          <t>Post-Independence</t>
        </is>
      </c>
      <c r="B14" s="10" t="inlineStr">
        <is>
          <t>Revision Notebook</t>
        </is>
      </c>
      <c r="C14" s="10" t="inlineStr">
        <is>
          <t>Revision</t>
        </is>
      </c>
      <c r="D14" s="10" t="inlineStr">
        <is>
          <t>1 Notebook</t>
        </is>
      </c>
      <c r="E14" s="9" t="inlineStr"/>
      <c r="F14" s="9" t="b">
        <v>0</v>
      </c>
      <c r="G14" s="9" t="b">
        <v>0</v>
      </c>
      <c r="H14" s="13">
        <f>IF(F14,0.6,0)+IF(G14,0.4,0)</f>
        <v/>
      </c>
      <c r="I14" s="10" t="inlineStr"/>
    </row>
    <row r="15">
      <c r="A15" s="10" t="inlineStr">
        <is>
          <t>World History</t>
        </is>
      </c>
      <c r="B15" s="10" t="inlineStr">
        <is>
          <t>Subject Notebook</t>
        </is>
      </c>
      <c r="C15" s="10" t="inlineStr">
        <is>
          <t>Main Notes</t>
        </is>
      </c>
      <c r="D15" s="10" t="inlineStr">
        <is>
          <t>1 Notebook</t>
        </is>
      </c>
      <c r="E15" s="9" t="inlineStr"/>
      <c r="F15" s="9" t="b">
        <v>0</v>
      </c>
      <c r="G15" s="9" t="b">
        <v>0</v>
      </c>
      <c r="H15" s="13">
        <f>IF(F15,0.6,0)+IF(G15,0.4,0)</f>
        <v/>
      </c>
      <c r="I15" s="10" t="inlineStr"/>
    </row>
    <row r="16">
      <c r="A16" s="10" t="inlineStr">
        <is>
          <t>World History</t>
        </is>
      </c>
      <c r="B16" s="10" t="inlineStr">
        <is>
          <t>Revision Notebook</t>
        </is>
      </c>
      <c r="C16" s="10" t="inlineStr">
        <is>
          <t>Revision</t>
        </is>
      </c>
      <c r="D16" s="10" t="inlineStr">
        <is>
          <t>1 Notebook</t>
        </is>
      </c>
      <c r="E16" s="9" t="inlineStr"/>
      <c r="F16" s="9" t="b">
        <v>0</v>
      </c>
      <c r="G16" s="9" t="b">
        <v>0</v>
      </c>
      <c r="H16" s="13">
        <f>IF(F16,0.6,0)+IF(G16,0.4,0)</f>
        <v/>
      </c>
      <c r="I16" s="10" t="inlineStr"/>
    </row>
    <row r="17">
      <c r="A17" s="10" t="inlineStr">
        <is>
          <t>Indian Geography</t>
        </is>
      </c>
      <c r="B17" s="10" t="inlineStr">
        <is>
          <t>Subject Notebook</t>
        </is>
      </c>
      <c r="C17" s="10" t="inlineStr">
        <is>
          <t>Main Notes</t>
        </is>
      </c>
      <c r="D17" s="10" t="inlineStr">
        <is>
          <t>1 Notebook</t>
        </is>
      </c>
      <c r="E17" s="9" t="inlineStr"/>
      <c r="F17" s="9" t="b">
        <v>0</v>
      </c>
      <c r="G17" s="9" t="b">
        <v>0</v>
      </c>
      <c r="H17" s="13">
        <f>IF(F17,0.6,0)+IF(G17,0.4,0)</f>
        <v/>
      </c>
      <c r="I17" s="10" t="inlineStr"/>
    </row>
    <row r="18">
      <c r="A18" s="10" t="inlineStr">
        <is>
          <t>Indian Geography</t>
        </is>
      </c>
      <c r="B18" s="10" t="inlineStr">
        <is>
          <t>Revision Notebook</t>
        </is>
      </c>
      <c r="C18" s="10" t="inlineStr">
        <is>
          <t>Revision</t>
        </is>
      </c>
      <c r="D18" s="10" t="inlineStr">
        <is>
          <t>1 Notebook</t>
        </is>
      </c>
      <c r="E18" s="9" t="inlineStr"/>
      <c r="F18" s="9" t="b">
        <v>0</v>
      </c>
      <c r="G18" s="9" t="b">
        <v>0</v>
      </c>
      <c r="H18" s="13">
        <f>IF(F18,0.6,0)+IF(G18,0.4,0)</f>
        <v/>
      </c>
      <c r="I18" s="10" t="inlineStr"/>
    </row>
    <row r="19">
      <c r="A19" s="10" t="inlineStr">
        <is>
          <t>Physical Geography</t>
        </is>
      </c>
      <c r="B19" s="10" t="inlineStr">
        <is>
          <t>Subject Notebook</t>
        </is>
      </c>
      <c r="C19" s="10" t="inlineStr">
        <is>
          <t>Main Notes</t>
        </is>
      </c>
      <c r="D19" s="10" t="inlineStr">
        <is>
          <t>1 Notebook</t>
        </is>
      </c>
      <c r="E19" s="9" t="inlineStr"/>
      <c r="F19" s="9" t="b">
        <v>0</v>
      </c>
      <c r="G19" s="9" t="b">
        <v>0</v>
      </c>
      <c r="H19" s="13">
        <f>IF(F19,0.6,0)+IF(G19,0.4,0)</f>
        <v/>
      </c>
      <c r="I19" s="10" t="inlineStr"/>
    </row>
    <row r="20">
      <c r="A20" s="10" t="inlineStr">
        <is>
          <t>Physical Geography</t>
        </is>
      </c>
      <c r="B20" s="10" t="inlineStr">
        <is>
          <t>Revision Notebook</t>
        </is>
      </c>
      <c r="C20" s="10" t="inlineStr">
        <is>
          <t>Revision</t>
        </is>
      </c>
      <c r="D20" s="10" t="inlineStr">
        <is>
          <t>1 Notebook</t>
        </is>
      </c>
      <c r="E20" s="9" t="inlineStr"/>
      <c r="F20" s="9" t="b">
        <v>0</v>
      </c>
      <c r="G20" s="9" t="b">
        <v>0</v>
      </c>
      <c r="H20" s="13">
        <f>IF(F20,0.6,0)+IF(G20,0.4,0)</f>
        <v/>
      </c>
      <c r="I20" s="10" t="inlineStr"/>
    </row>
    <row r="21">
      <c r="A21" s="10" t="inlineStr">
        <is>
          <t>Human &amp; Eco Geography</t>
        </is>
      </c>
      <c r="B21" s="10" t="inlineStr">
        <is>
          <t>Subject Notebook</t>
        </is>
      </c>
      <c r="C21" s="10" t="inlineStr">
        <is>
          <t>Main Notes</t>
        </is>
      </c>
      <c r="D21" s="10" t="inlineStr">
        <is>
          <t>1 Notebook</t>
        </is>
      </c>
      <c r="E21" s="9" t="inlineStr"/>
      <c r="F21" s="9" t="b">
        <v>0</v>
      </c>
      <c r="G21" s="9" t="b">
        <v>0</v>
      </c>
      <c r="H21" s="13">
        <f>IF(F21,0.6,0)+IF(G21,0.4,0)</f>
        <v/>
      </c>
      <c r="I21" s="10" t="inlineStr"/>
    </row>
    <row r="22">
      <c r="A22" s="10" t="inlineStr">
        <is>
          <t>Human &amp; Eco Geography</t>
        </is>
      </c>
      <c r="B22" s="10" t="inlineStr">
        <is>
          <t>Revision Notebook</t>
        </is>
      </c>
      <c r="C22" s="10" t="inlineStr">
        <is>
          <t>Revision</t>
        </is>
      </c>
      <c r="D22" s="10" t="inlineStr">
        <is>
          <t>1 Notebook</t>
        </is>
      </c>
      <c r="E22" s="9" t="inlineStr"/>
      <c r="F22" s="9" t="b">
        <v>0</v>
      </c>
      <c r="G22" s="9" t="b">
        <v>0</v>
      </c>
      <c r="H22" s="13">
        <f>IF(F22,0.6,0)+IF(G22,0.4,0)</f>
        <v/>
      </c>
      <c r="I22" s="10" t="inlineStr"/>
    </row>
    <row r="23">
      <c r="A23" s="10" t="inlineStr">
        <is>
          <t>Society</t>
        </is>
      </c>
      <c r="B23" s="10" t="inlineStr">
        <is>
          <t>Subject Notebook</t>
        </is>
      </c>
      <c r="C23" s="10" t="inlineStr">
        <is>
          <t>Main Notes</t>
        </is>
      </c>
      <c r="D23" s="10" t="inlineStr">
        <is>
          <t>1 Notebook</t>
        </is>
      </c>
      <c r="E23" s="9" t="inlineStr"/>
      <c r="F23" s="9" t="b">
        <v>0</v>
      </c>
      <c r="G23" s="9" t="b">
        <v>0</v>
      </c>
      <c r="H23" s="13">
        <f>IF(F23,0.6,0)+IF(G23,0.4,0)</f>
        <v/>
      </c>
      <c r="I23" s="10" t="inlineStr"/>
    </row>
    <row r="24">
      <c r="A24" s="10" t="inlineStr">
        <is>
          <t>Society</t>
        </is>
      </c>
      <c r="B24" s="10" t="inlineStr">
        <is>
          <t>Revision Notebook</t>
        </is>
      </c>
      <c r="C24" s="10" t="inlineStr">
        <is>
          <t>Revision</t>
        </is>
      </c>
      <c r="D24" s="10" t="inlineStr">
        <is>
          <t>1 Notebook</t>
        </is>
      </c>
      <c r="E24" s="9" t="inlineStr"/>
      <c r="F24" s="9" t="b">
        <v>0</v>
      </c>
      <c r="G24" s="9" t="b">
        <v>0</v>
      </c>
      <c r="H24" s="13">
        <f>IF(F24,0.6,0)+IF(G24,0.4,0)</f>
        <v/>
      </c>
      <c r="I24" s="10" t="inlineStr"/>
    </row>
    <row r="25">
      <c r="A25" s="10" t="inlineStr">
        <is>
          <t>GS-1 Practice</t>
        </is>
      </c>
      <c r="B25" s="10" t="inlineStr">
        <is>
          <t>Practice Test 1</t>
        </is>
      </c>
      <c r="C25" s="10" t="inlineStr">
        <is>
          <t>Smartworks (SWL)</t>
        </is>
      </c>
      <c r="D25" s="10" t="inlineStr">
        <is>
          <t>60 min</t>
        </is>
      </c>
      <c r="E25" s="9" t="inlineStr"/>
      <c r="F25" s="9" t="b">
        <v>0</v>
      </c>
      <c r="G25" s="9" t="b">
        <v>0</v>
      </c>
      <c r="H25" s="13">
        <f>IF(F25,0.6,0)+IF(G25,0.4,0)</f>
        <v/>
      </c>
      <c r="I25" s="10" t="inlineStr"/>
    </row>
    <row r="26">
      <c r="A26" s="10" t="inlineStr">
        <is>
          <t>GS-1 Practice</t>
        </is>
      </c>
      <c r="B26" s="10" t="inlineStr">
        <is>
          <t>Practice Test 2</t>
        </is>
      </c>
      <c r="C26" s="10" t="inlineStr">
        <is>
          <t>Smartworks (SWL)</t>
        </is>
      </c>
      <c r="D26" s="10" t="inlineStr">
        <is>
          <t>60 min</t>
        </is>
      </c>
      <c r="E26" s="9" t="inlineStr"/>
      <c r="F26" s="9" t="b">
        <v>0</v>
      </c>
      <c r="G26" s="9" t="b">
        <v>0</v>
      </c>
      <c r="H26" s="13">
        <f>IF(F26,0.6,0)+IF(G26,0.4,0)</f>
        <v/>
      </c>
      <c r="I26" s="10" t="inlineStr"/>
    </row>
    <row r="27">
      <c r="A27" s="10" t="inlineStr">
        <is>
          <t>GS-1 Practice</t>
        </is>
      </c>
      <c r="B27" s="10" t="inlineStr">
        <is>
          <t>Practice Test 6</t>
        </is>
      </c>
      <c r="C27" s="10" t="inlineStr">
        <is>
          <t>Smartworks (SWL)</t>
        </is>
      </c>
      <c r="D27" s="10" t="inlineStr">
        <is>
          <t>60 min</t>
        </is>
      </c>
      <c r="E27" s="9" t="inlineStr"/>
      <c r="F27" s="9" t="b">
        <v>0</v>
      </c>
      <c r="G27" s="9" t="b">
        <v>0</v>
      </c>
      <c r="H27" s="13">
        <f>IF(F27,0.6,0)+IF(G27,0.4,0)</f>
        <v/>
      </c>
      <c r="I27" s="10" t="inlineStr"/>
    </row>
    <row r="28">
      <c r="A28" s="10" t="inlineStr">
        <is>
          <t>GS-1 Practice</t>
        </is>
      </c>
      <c r="B28" s="10" t="inlineStr">
        <is>
          <t>Practice Test 7</t>
        </is>
      </c>
      <c r="C28" s="10" t="inlineStr">
        <is>
          <t>Smartworks (SWL)</t>
        </is>
      </c>
      <c r="D28" s="10" t="inlineStr">
        <is>
          <t>60 min</t>
        </is>
      </c>
      <c r="E28" s="9" t="inlineStr"/>
      <c r="F28" s="9" t="b">
        <v>0</v>
      </c>
      <c r="G28" s="9" t="b">
        <v>0</v>
      </c>
      <c r="H28" s="13">
        <f>IF(F28,0.6,0)+IF(G28,0.4,0)</f>
        <v/>
      </c>
      <c r="I28" s="10" t="inlineStr"/>
    </row>
    <row r="29">
      <c r="A29" s="10" t="inlineStr">
        <is>
          <t>GS-1 Practice</t>
        </is>
      </c>
      <c r="B29" s="10" t="inlineStr">
        <is>
          <t>Practice Test 8</t>
        </is>
      </c>
      <c r="C29" s="10" t="inlineStr">
        <is>
          <t>Smartworks (SWL)</t>
        </is>
      </c>
      <c r="D29" s="10" t="inlineStr">
        <is>
          <t>60 min</t>
        </is>
      </c>
      <c r="E29" s="9" t="inlineStr"/>
      <c r="F29" s="9" t="b">
        <v>0</v>
      </c>
      <c r="G29" s="9" t="b">
        <v>0</v>
      </c>
      <c r="H29" s="13">
        <f>IF(F29,0.6,0)+IF(G29,0.4,0)</f>
        <v/>
      </c>
      <c r="I29" s="10" t="inlineStr"/>
    </row>
    <row r="30">
      <c r="A30" s="10" t="inlineStr">
        <is>
          <t>GS-1 Practice</t>
        </is>
      </c>
      <c r="B30" s="10" t="inlineStr">
        <is>
          <t>Practice Test 9</t>
        </is>
      </c>
      <c r="C30" s="10" t="inlineStr">
        <is>
          <t>Smartworks (SWL)</t>
        </is>
      </c>
      <c r="D30" s="10" t="inlineStr">
        <is>
          <t>60 min</t>
        </is>
      </c>
      <c r="E30" s="9" t="inlineStr"/>
      <c r="F30" s="9" t="b">
        <v>0</v>
      </c>
      <c r="G30" s="9" t="b">
        <v>0</v>
      </c>
      <c r="H30" s="13">
        <f>IF(F30,0.6,0)+IF(G30,0.4,0)</f>
        <v/>
      </c>
      <c r="I30" s="10" t="inlineStr"/>
    </row>
    <row r="31">
      <c r="A31" s="10" t="inlineStr">
        <is>
          <t>GS-1 Practice</t>
        </is>
      </c>
      <c r="B31" s="10" t="inlineStr">
        <is>
          <t>Practice Test 10</t>
        </is>
      </c>
      <c r="C31" s="10" t="inlineStr">
        <is>
          <t>Smartworks (SWL)</t>
        </is>
      </c>
      <c r="D31" s="10" t="inlineStr">
        <is>
          <t>60 min</t>
        </is>
      </c>
      <c r="E31" s="9" t="inlineStr"/>
      <c r="F31" s="9" t="b">
        <v>0</v>
      </c>
      <c r="G31" s="9" t="b">
        <v>0</v>
      </c>
      <c r="H31" s="13">
        <f>IF(F31,0.6,0)+IF(G31,0.4,0)</f>
        <v/>
      </c>
      <c r="I31" s="10" t="inlineStr"/>
    </row>
    <row r="32">
      <c r="A32" s="10" t="inlineStr">
        <is>
          <t>GS-1 Practice</t>
        </is>
      </c>
      <c r="B32" s="10" t="inlineStr">
        <is>
          <t>Practice Test 11</t>
        </is>
      </c>
      <c r="C32" s="10" t="inlineStr">
        <is>
          <t>Smartworks (SWL)</t>
        </is>
      </c>
      <c r="D32" s="10" t="inlineStr">
        <is>
          <t>60 min</t>
        </is>
      </c>
      <c r="E32" s="9" t="inlineStr"/>
      <c r="F32" s="9" t="b">
        <v>0</v>
      </c>
      <c r="G32" s="9" t="b">
        <v>0</v>
      </c>
      <c r="H32" s="13">
        <f>IF(F32,0.6,0)+IF(G32,0.4,0)</f>
        <v/>
      </c>
      <c r="I32" s="10" t="inlineStr"/>
    </row>
    <row r="33">
      <c r="A33" s="10" t="inlineStr">
        <is>
          <t>GS-1 Full Mock</t>
        </is>
      </c>
      <c r="B33" s="10" t="inlineStr">
        <is>
          <t>Full Test 2603</t>
        </is>
      </c>
      <c r="C33" s="10" t="inlineStr">
        <is>
          <t>Smartworks (SWL)</t>
        </is>
      </c>
      <c r="D33" s="10" t="inlineStr">
        <is>
          <t>3 hr</t>
        </is>
      </c>
      <c r="E33" s="9" t="inlineStr"/>
      <c r="F33" s="9" t="b">
        <v>0</v>
      </c>
      <c r="G33" s="9" t="b">
        <v>0</v>
      </c>
      <c r="H33" s="13">
        <f>IF(F33,0.6,0)+IF(G33,0.4,0)</f>
        <v/>
      </c>
      <c r="I33" s="10" t="inlineStr"/>
    </row>
    <row r="34">
      <c r="A34" s="10" t="inlineStr">
        <is>
          <t>GS-1 Full Mock</t>
        </is>
      </c>
      <c r="B34" s="10" t="inlineStr">
        <is>
          <t>Full Test 2604</t>
        </is>
      </c>
      <c r="C34" s="10" t="inlineStr">
        <is>
          <t>Smartworks (SWL)</t>
        </is>
      </c>
      <c r="D34" s="10" t="inlineStr">
        <is>
          <t>3 hr</t>
        </is>
      </c>
      <c r="E34" s="9" t="inlineStr"/>
      <c r="F34" s="9" t="b">
        <v>0</v>
      </c>
      <c r="G34" s="9" t="b">
        <v>0</v>
      </c>
      <c r="H34" s="13">
        <f>IF(F34,0.6,0)+IF(G34,0.4,0)</f>
        <v/>
      </c>
      <c r="I34" s="10" t="inlineStr"/>
    </row>
    <row r="35">
      <c r="A35" s="10" t="inlineStr">
        <is>
          <t>PYQ Brainstorming</t>
        </is>
      </c>
      <c r="B35" s="10" t="inlineStr">
        <is>
          <t>Art &amp; Culture PYQs Brainstorming</t>
        </is>
      </c>
      <c r="C35" s="10" t="inlineStr">
        <is>
          <t>PYQ Writing Sheet</t>
        </is>
      </c>
      <c r="D35" s="10" t="inlineStr">
        <is>
          <t>41 Questions</t>
        </is>
      </c>
      <c r="E35" s="9" t="inlineStr"/>
      <c r="F35" s="9" t="b">
        <v>0</v>
      </c>
      <c r="G35" s="9" t="b">
        <v>0</v>
      </c>
      <c r="H35" s="13">
        <f>IF(F35,0.6,0)+IF(G35,0.4,0)</f>
        <v/>
      </c>
      <c r="I35" s="10" t="inlineStr"/>
    </row>
    <row r="36">
      <c r="A36" s="10" t="inlineStr">
        <is>
          <t>PYQ Brainstorming</t>
        </is>
      </c>
      <c r="B36" s="10" t="inlineStr">
        <is>
          <t>World History PYQs</t>
        </is>
      </c>
      <c r="C36" s="10" t="inlineStr">
        <is>
          <t>PYQ Writing Sheet</t>
        </is>
      </c>
      <c r="D36" s="10" t="inlineStr">
        <is>
          <t>22 PYQs</t>
        </is>
      </c>
      <c r="E36" s="9" t="inlineStr"/>
      <c r="F36" s="9" t="b">
        <v>0</v>
      </c>
      <c r="G36" s="9" t="b">
        <v>0</v>
      </c>
      <c r="H36" s="13">
        <f>IF(F36,0.6,0)+IF(G36,0.4,0)</f>
        <v/>
      </c>
      <c r="I36" s="10" t="inlineStr"/>
    </row>
    <row r="37">
      <c r="A37" s="10" t="inlineStr">
        <is>
          <t>PYQ Brainstorming</t>
        </is>
      </c>
      <c r="B37" s="10" t="inlineStr">
        <is>
          <t>Post-Independence PYQs</t>
        </is>
      </c>
      <c r="C37" s="10" t="inlineStr">
        <is>
          <t>PYQ Writing Sheet</t>
        </is>
      </c>
      <c r="D37" s="10" t="inlineStr">
        <is>
          <t>11 PYQs</t>
        </is>
      </c>
      <c r="E37" s="9" t="inlineStr"/>
      <c r="F37" s="9" t="b">
        <v>0</v>
      </c>
      <c r="G37" s="9" t="b">
        <v>0</v>
      </c>
      <c r="H37" s="13">
        <f>IF(F37,0.6,0)+IF(G37,0.4,0)</f>
        <v/>
      </c>
      <c r="I37" s="10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2" customWidth="1" min="3" max="3"/>
    <col width="17" customWidth="1" min="4" max="4"/>
    <col width="15" customWidth="1" min="5" max="5"/>
    <col width="18" customWidth="1" min="6" max="6"/>
    <col width="21" customWidth="1" min="7" max="7"/>
    <col width="32" customWidth="1" min="8" max="8"/>
    <col width="12" customWidth="1" min="9" max="9"/>
  </cols>
  <sheetData>
    <row r="1" ht="30" customHeight="1">
      <c r="A1" s="1" t="inlineStr">
        <is>
          <t>UPSC Mains — GS-2 Tracker</t>
        </is>
      </c>
    </row>
    <row r="2" ht="18" customHeight="1">
      <c r="A2" s="2" t="inlineStr">
        <is>
          <t>Polity, Governance, Social Justice, IR (Insights IAS Mocks &amp; Notes)</t>
        </is>
      </c>
    </row>
    <row r="3" ht="20" customHeight="1">
      <c r="A3" s="3">
        <f>"Progress "&amp;TEXT(AVERAGE(H5:H15),"0%")&amp;"   "&amp;REPT("█",ROUND(AVERAGE(H5:H15)*20,0))&amp;REPT("░",20-ROUND(AVERAGE(H5:H15)*20,0))&amp;"  ·  Total Items: 11  ·  Completed: "&amp;COUNTIF(H5:H15,1)</f>
        <v/>
      </c>
    </row>
    <row r="4" ht="24" customHeight="1">
      <c r="A4" s="12" t="inlineStr">
        <is>
          <t>Subject / Domain</t>
        </is>
      </c>
      <c r="B4" s="12" t="inlineStr">
        <is>
          <t>Item / Test Name</t>
        </is>
      </c>
      <c r="C4" s="12" t="inlineStr">
        <is>
          <t>Source / Institute</t>
        </is>
      </c>
      <c r="D4" s="12" t="inlineStr">
        <is>
          <t>Type</t>
        </is>
      </c>
      <c r="E4" s="12" t="inlineStr">
        <is>
          <t>Target Date</t>
        </is>
      </c>
      <c r="F4" s="12" t="inlineStr">
        <is>
          <t>Written / Done</t>
        </is>
      </c>
      <c r="G4" s="12" t="inlineStr">
        <is>
          <t>Evaluated / Notes</t>
        </is>
      </c>
      <c r="H4" s="12" t="inlineStr">
        <is>
          <t>Progress %</t>
        </is>
      </c>
      <c r="I4" s="12" t="inlineStr">
        <is>
          <t>Remarks</t>
        </is>
      </c>
    </row>
    <row r="5">
      <c r="A5" s="10" t="inlineStr">
        <is>
          <t>Polity</t>
        </is>
      </c>
      <c r="B5" s="10" t="inlineStr">
        <is>
          <t>Revision Notebook</t>
        </is>
      </c>
      <c r="C5" s="10" t="inlineStr">
        <is>
          <t>Self</t>
        </is>
      </c>
      <c r="D5" s="10" t="inlineStr">
        <is>
          <t>1 Revision NB</t>
        </is>
      </c>
      <c r="E5" s="9" t="inlineStr"/>
      <c r="F5" s="9" t="b">
        <v>0</v>
      </c>
      <c r="G5" s="9" t="b">
        <v>0</v>
      </c>
      <c r="H5" s="13">
        <f>IF(F5,0.6,0)+IF(G5,0.4,0)</f>
        <v/>
      </c>
      <c r="I5" s="10" t="inlineStr"/>
    </row>
    <row r="6">
      <c r="A6" s="10" t="inlineStr">
        <is>
          <t>Governance</t>
        </is>
      </c>
      <c r="B6" s="10" t="inlineStr">
        <is>
          <t>Revision Notebook</t>
        </is>
      </c>
      <c r="C6" s="10" t="inlineStr">
        <is>
          <t>Self</t>
        </is>
      </c>
      <c r="D6" s="10" t="inlineStr">
        <is>
          <t>1 Revision NB</t>
        </is>
      </c>
      <c r="E6" s="9" t="inlineStr"/>
      <c r="F6" s="9" t="b">
        <v>0</v>
      </c>
      <c r="G6" s="9" t="b">
        <v>0</v>
      </c>
      <c r="H6" s="13">
        <f>IF(F6,0.6,0)+IF(G6,0.4,0)</f>
        <v/>
      </c>
      <c r="I6" s="10" t="inlineStr"/>
    </row>
    <row r="7">
      <c r="A7" s="10" t="inlineStr">
        <is>
          <t>Social Justice</t>
        </is>
      </c>
      <c r="B7" s="10" t="inlineStr">
        <is>
          <t>Revision Notebook</t>
        </is>
      </c>
      <c r="C7" s="10" t="inlineStr">
        <is>
          <t>Self</t>
        </is>
      </c>
      <c r="D7" s="10" t="inlineStr">
        <is>
          <t>1 Revision NB</t>
        </is>
      </c>
      <c r="E7" s="9" t="inlineStr"/>
      <c r="F7" s="9" t="b">
        <v>0</v>
      </c>
      <c r="G7" s="9" t="b">
        <v>0</v>
      </c>
      <c r="H7" s="13">
        <f>IF(F7,0.6,0)+IF(G7,0.4,0)</f>
        <v/>
      </c>
      <c r="I7" s="10" t="inlineStr"/>
    </row>
    <row r="8">
      <c r="A8" s="10" t="inlineStr">
        <is>
          <t>International Relations</t>
        </is>
      </c>
      <c r="B8" s="10" t="inlineStr">
        <is>
          <t>Revision Notebook</t>
        </is>
      </c>
      <c r="C8" s="10" t="inlineStr">
        <is>
          <t>Self</t>
        </is>
      </c>
      <c r="D8" s="10" t="inlineStr">
        <is>
          <t>1 Revision NB</t>
        </is>
      </c>
      <c r="E8" s="9" t="inlineStr"/>
      <c r="F8" s="9" t="b">
        <v>0</v>
      </c>
      <c r="G8" s="9" t="b">
        <v>0</v>
      </c>
      <c r="H8" s="13">
        <f>IF(F8,0.6,0)+IF(G8,0.4,0)</f>
        <v/>
      </c>
      <c r="I8" s="10" t="inlineStr"/>
    </row>
    <row r="9">
      <c r="A9" s="10" t="inlineStr">
        <is>
          <t>Polity</t>
        </is>
      </c>
      <c r="B9" s="10" t="inlineStr">
        <is>
          <t>Full Mock 1</t>
        </is>
      </c>
      <c r="C9" s="10" t="inlineStr">
        <is>
          <t>Insights IAS</t>
        </is>
      </c>
      <c r="D9" s="10" t="inlineStr">
        <is>
          <t>3 hr Mock</t>
        </is>
      </c>
      <c r="E9" s="9" t="inlineStr"/>
      <c r="F9" s="9" t="b">
        <v>0</v>
      </c>
      <c r="G9" s="9" t="b">
        <v>0</v>
      </c>
      <c r="H9" s="13">
        <f>IF(F9,0.6,0)+IF(G9,0.4,0)</f>
        <v/>
      </c>
      <c r="I9" s="10" t="inlineStr"/>
    </row>
    <row r="10">
      <c r="A10" s="10" t="inlineStr">
        <is>
          <t>Polity</t>
        </is>
      </c>
      <c r="B10" s="10" t="inlineStr">
        <is>
          <t>Full Mock 2</t>
        </is>
      </c>
      <c r="C10" s="10" t="inlineStr">
        <is>
          <t>Insights IAS</t>
        </is>
      </c>
      <c r="D10" s="10" t="inlineStr">
        <is>
          <t>3 hr Mock</t>
        </is>
      </c>
      <c r="E10" s="9" t="inlineStr"/>
      <c r="F10" s="9" t="b">
        <v>0</v>
      </c>
      <c r="G10" s="9" t="b">
        <v>0</v>
      </c>
      <c r="H10" s="13">
        <f>IF(F10,0.6,0)+IF(G10,0.4,0)</f>
        <v/>
      </c>
      <c r="I10" s="10" t="inlineStr"/>
    </row>
    <row r="11">
      <c r="A11" s="10" t="inlineStr">
        <is>
          <t>Governance</t>
        </is>
      </c>
      <c r="B11" s="10" t="inlineStr">
        <is>
          <t>Full Mock 1</t>
        </is>
      </c>
      <c r="C11" s="10" t="inlineStr">
        <is>
          <t>Insights IAS</t>
        </is>
      </c>
      <c r="D11" s="10" t="inlineStr">
        <is>
          <t>3 hr Mock</t>
        </is>
      </c>
      <c r="E11" s="9" t="inlineStr"/>
      <c r="F11" s="9" t="b">
        <v>0</v>
      </c>
      <c r="G11" s="9" t="b">
        <v>0</v>
      </c>
      <c r="H11" s="13">
        <f>IF(F11,0.6,0)+IF(G11,0.4,0)</f>
        <v/>
      </c>
      <c r="I11" s="10" t="inlineStr"/>
    </row>
    <row r="12">
      <c r="A12" s="10" t="inlineStr">
        <is>
          <t>Social Justice</t>
        </is>
      </c>
      <c r="B12" s="10" t="inlineStr">
        <is>
          <t>Full Mock 1</t>
        </is>
      </c>
      <c r="C12" s="10" t="inlineStr">
        <is>
          <t>Insights IAS</t>
        </is>
      </c>
      <c r="D12" s="10" t="inlineStr">
        <is>
          <t>3 hr Mock</t>
        </is>
      </c>
      <c r="E12" s="9" t="inlineStr"/>
      <c r="F12" s="9" t="b">
        <v>0</v>
      </c>
      <c r="G12" s="9" t="b">
        <v>0</v>
      </c>
      <c r="H12" s="13">
        <f>IF(F12,0.6,0)+IF(G12,0.4,0)</f>
        <v/>
      </c>
      <c r="I12" s="10" t="inlineStr"/>
    </row>
    <row r="13">
      <c r="A13" s="10" t="inlineStr">
        <is>
          <t>Social Justice</t>
        </is>
      </c>
      <c r="B13" s="10" t="inlineStr">
        <is>
          <t>Full Mock 2</t>
        </is>
      </c>
      <c r="C13" s="10" t="inlineStr">
        <is>
          <t>Insights IAS</t>
        </is>
      </c>
      <c r="D13" s="10" t="inlineStr">
        <is>
          <t>3 hr Mock</t>
        </is>
      </c>
      <c r="E13" s="9" t="inlineStr"/>
      <c r="F13" s="9" t="b">
        <v>0</v>
      </c>
      <c r="G13" s="9" t="b">
        <v>0</v>
      </c>
      <c r="H13" s="13">
        <f>IF(F13,0.6,0)+IF(G13,0.4,0)</f>
        <v/>
      </c>
      <c r="I13" s="10" t="inlineStr"/>
    </row>
    <row r="14">
      <c r="A14" s="10" t="inlineStr">
        <is>
          <t>International Relations</t>
        </is>
      </c>
      <c r="B14" s="10" t="inlineStr">
        <is>
          <t>Full Mock 1</t>
        </is>
      </c>
      <c r="C14" s="10" t="inlineStr">
        <is>
          <t>Insights IAS</t>
        </is>
      </c>
      <c r="D14" s="10" t="inlineStr">
        <is>
          <t>3 hr Mock</t>
        </is>
      </c>
      <c r="E14" s="9" t="inlineStr"/>
      <c r="F14" s="9" t="b">
        <v>0</v>
      </c>
      <c r="G14" s="9" t="b">
        <v>0</v>
      </c>
      <c r="H14" s="13">
        <f>IF(F14,0.6,0)+IF(G14,0.4,0)</f>
        <v/>
      </c>
      <c r="I14" s="10" t="inlineStr"/>
    </row>
    <row r="15">
      <c r="A15" s="10" t="inlineStr">
        <is>
          <t>International Relations</t>
        </is>
      </c>
      <c r="B15" s="10" t="inlineStr">
        <is>
          <t>Full Mock 2</t>
        </is>
      </c>
      <c r="C15" s="10" t="inlineStr">
        <is>
          <t>Insights IAS</t>
        </is>
      </c>
      <c r="D15" s="10" t="inlineStr">
        <is>
          <t>3 hr Mock</t>
        </is>
      </c>
      <c r="E15" s="9" t="inlineStr"/>
      <c r="F15" s="9" t="b">
        <v>0</v>
      </c>
      <c r="G15" s="9" t="b">
        <v>0</v>
      </c>
      <c r="H15" s="13">
        <f>IF(F15,0.6,0)+IF(G15,0.4,0)</f>
        <v/>
      </c>
      <c r="I15" s="10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9" customWidth="1" min="4" max="4"/>
    <col width="25" customWidth="1" min="5" max="5"/>
    <col width="12" customWidth="1" min="6" max="6"/>
    <col width="25" customWidth="1" min="7" max="7"/>
    <col width="18" customWidth="1" min="8" max="8"/>
    <col width="46" customWidth="1" min="9" max="9"/>
    <col width="12" customWidth="1" min="10" max="10"/>
  </cols>
  <sheetData>
    <row r="1" ht="30" customHeight="1">
      <c r="A1" s="1" t="inlineStr">
        <is>
          <t>UPSC Mains — Smartwork Labs Answer Writing Workbooks (PYQs 2020–2024)</t>
        </is>
      </c>
    </row>
    <row r="2" ht="18" customHeight="1">
      <c r="A2" s="2" t="inlineStr">
        <is>
          <t>GS-1, GS-2, GS-3, GS-4 Year-Wise &amp; Question-Wise Practice</t>
        </is>
      </c>
    </row>
    <row r="3" ht="20" customHeight="1">
      <c r="A3" s="3">
        <f>"Progress "&amp;TEXT(AVERAGE(I5:I44),"0%")&amp;"   "&amp;REPT("█",ROUND(AVERAGE(I5:I44)*20,0))&amp;REPT("░",20-ROUND(AVERAGE(I5:I44)*20,0))&amp;"  ·  Total Sets: 40  ·  Completed Sets: "&amp;COUNTIF(I5:I44,1)</f>
        <v/>
      </c>
    </row>
    <row r="4" ht="24" customHeight="1">
      <c r="A4" s="12" t="inlineStr">
        <is>
          <t>Paper</t>
        </is>
      </c>
      <c r="B4" s="12" t="inlineStr">
        <is>
          <t>Year</t>
        </is>
      </c>
      <c r="C4" s="12" t="inlineStr">
        <is>
          <t>Question Set / Range</t>
        </is>
      </c>
      <c r="D4" s="12" t="inlineStr">
        <is>
          <t>Total Questions</t>
        </is>
      </c>
      <c r="E4" s="12" t="inlineStr">
        <is>
          <t>Marks per Q / Pattern</t>
        </is>
      </c>
      <c r="F4" s="12" t="inlineStr">
        <is>
          <t>Written</t>
        </is>
      </c>
      <c r="G4" s="12" t="inlineStr">
        <is>
          <t>Model Answer / Review</t>
        </is>
      </c>
      <c r="H4" s="12" t="inlineStr">
        <is>
          <t>Notes Enriched</t>
        </is>
      </c>
      <c r="I4" s="12" t="inlineStr">
        <is>
          <t>Progress %</t>
        </is>
      </c>
      <c r="J4" s="12" t="inlineStr">
        <is>
          <t>Remarks</t>
        </is>
      </c>
    </row>
    <row r="5">
      <c r="A5" s="9" t="inlineStr">
        <is>
          <t>GS-1</t>
        </is>
      </c>
      <c r="B5" s="9" t="inlineStr">
        <is>
          <t>2024</t>
        </is>
      </c>
      <c r="C5" s="10" t="inlineStr">
        <is>
          <t>Q1 to Q10 (10 Marks / 150 Words)</t>
        </is>
      </c>
      <c r="D5" s="9" t="n">
        <v>10</v>
      </c>
      <c r="E5" s="10" t="inlineStr">
        <is>
          <t>10 Marks each</t>
        </is>
      </c>
      <c r="F5" s="9" t="b">
        <v>0</v>
      </c>
      <c r="G5" s="9" t="b">
        <v>0</v>
      </c>
      <c r="H5" s="9" t="b">
        <v>0</v>
      </c>
      <c r="I5" s="13">
        <f>IF(F5,0.5,0)+IF(G5,0.3,0)+IF(H5,0.2,0)</f>
        <v/>
      </c>
      <c r="J5" s="10" t="inlineStr"/>
    </row>
    <row r="6">
      <c r="A6" s="9" t="inlineStr">
        <is>
          <t>GS-1</t>
        </is>
      </c>
      <c r="B6" s="9" t="inlineStr">
        <is>
          <t>2024</t>
        </is>
      </c>
      <c r="C6" s="10" t="inlineStr">
        <is>
          <t>Q11 to Q20 (15 Marks / 250 Words)</t>
        </is>
      </c>
      <c r="D6" s="9" t="n">
        <v>10</v>
      </c>
      <c r="E6" s="10" t="inlineStr">
        <is>
          <t>15 Marks each</t>
        </is>
      </c>
      <c r="F6" s="9" t="b">
        <v>0</v>
      </c>
      <c r="G6" s="9" t="b">
        <v>0</v>
      </c>
      <c r="H6" s="9" t="b">
        <v>0</v>
      </c>
      <c r="I6" s="13">
        <f>IF(F6,0.5,0)+IF(G6,0.3,0)+IF(H6,0.2,0)</f>
        <v/>
      </c>
      <c r="J6" s="10" t="inlineStr"/>
    </row>
    <row r="7">
      <c r="A7" s="9" t="inlineStr">
        <is>
          <t>GS-1</t>
        </is>
      </c>
      <c r="B7" s="9" t="inlineStr">
        <is>
          <t>2023</t>
        </is>
      </c>
      <c r="C7" s="10" t="inlineStr">
        <is>
          <t>Q1 to Q10 (10 Marks / 150 Words)</t>
        </is>
      </c>
      <c r="D7" s="9" t="n">
        <v>10</v>
      </c>
      <c r="E7" s="10" t="inlineStr">
        <is>
          <t>10 Marks each</t>
        </is>
      </c>
      <c r="F7" s="9" t="b">
        <v>0</v>
      </c>
      <c r="G7" s="9" t="b">
        <v>0</v>
      </c>
      <c r="H7" s="9" t="b">
        <v>0</v>
      </c>
      <c r="I7" s="13">
        <f>IF(F7,0.5,0)+IF(G7,0.3,0)+IF(H7,0.2,0)</f>
        <v/>
      </c>
      <c r="J7" s="10" t="inlineStr"/>
    </row>
    <row r="8">
      <c r="A8" s="9" t="inlineStr">
        <is>
          <t>GS-1</t>
        </is>
      </c>
      <c r="B8" s="9" t="inlineStr">
        <is>
          <t>2023</t>
        </is>
      </c>
      <c r="C8" s="10" t="inlineStr">
        <is>
          <t>Q11 to Q20 (15 Marks / 250 Words)</t>
        </is>
      </c>
      <c r="D8" s="9" t="n">
        <v>10</v>
      </c>
      <c r="E8" s="10" t="inlineStr">
        <is>
          <t>15 Marks each</t>
        </is>
      </c>
      <c r="F8" s="9" t="b">
        <v>0</v>
      </c>
      <c r="G8" s="9" t="b">
        <v>0</v>
      </c>
      <c r="H8" s="9" t="b">
        <v>0</v>
      </c>
      <c r="I8" s="13">
        <f>IF(F8,0.5,0)+IF(G8,0.3,0)+IF(H8,0.2,0)</f>
        <v/>
      </c>
      <c r="J8" s="10" t="inlineStr"/>
    </row>
    <row r="9">
      <c r="A9" s="9" t="inlineStr">
        <is>
          <t>GS-1</t>
        </is>
      </c>
      <c r="B9" s="9" t="inlineStr">
        <is>
          <t>2022</t>
        </is>
      </c>
      <c r="C9" s="10" t="inlineStr">
        <is>
          <t>Q1 to Q10 (10 Marks / 150 Words)</t>
        </is>
      </c>
      <c r="D9" s="9" t="n">
        <v>10</v>
      </c>
      <c r="E9" s="10" t="inlineStr">
        <is>
          <t>10 Marks each</t>
        </is>
      </c>
      <c r="F9" s="9" t="b">
        <v>0</v>
      </c>
      <c r="G9" s="9" t="b">
        <v>0</v>
      </c>
      <c r="H9" s="9" t="b">
        <v>0</v>
      </c>
      <c r="I9" s="13">
        <f>IF(F9,0.5,0)+IF(G9,0.3,0)+IF(H9,0.2,0)</f>
        <v/>
      </c>
      <c r="J9" s="10" t="inlineStr"/>
    </row>
    <row r="10">
      <c r="A10" s="9" t="inlineStr">
        <is>
          <t>GS-1</t>
        </is>
      </c>
      <c r="B10" s="9" t="inlineStr">
        <is>
          <t>2022</t>
        </is>
      </c>
      <c r="C10" s="10" t="inlineStr">
        <is>
          <t>Q11 to Q20 (15 Marks / 250 Words)</t>
        </is>
      </c>
      <c r="D10" s="9" t="n">
        <v>10</v>
      </c>
      <c r="E10" s="10" t="inlineStr">
        <is>
          <t>15 Marks each</t>
        </is>
      </c>
      <c r="F10" s="9" t="b">
        <v>0</v>
      </c>
      <c r="G10" s="9" t="b">
        <v>0</v>
      </c>
      <c r="H10" s="9" t="b">
        <v>0</v>
      </c>
      <c r="I10" s="13">
        <f>IF(F10,0.5,0)+IF(G10,0.3,0)+IF(H10,0.2,0)</f>
        <v/>
      </c>
      <c r="J10" s="10" t="inlineStr"/>
    </row>
    <row r="11">
      <c r="A11" s="9" t="inlineStr">
        <is>
          <t>GS-1</t>
        </is>
      </c>
      <c r="B11" s="9" t="inlineStr">
        <is>
          <t>2021</t>
        </is>
      </c>
      <c r="C11" s="10" t="inlineStr">
        <is>
          <t>Q1 to Q10 (10 Marks / 150 Words)</t>
        </is>
      </c>
      <c r="D11" s="9" t="n">
        <v>10</v>
      </c>
      <c r="E11" s="10" t="inlineStr">
        <is>
          <t>10 Marks each</t>
        </is>
      </c>
      <c r="F11" s="9" t="b">
        <v>0</v>
      </c>
      <c r="G11" s="9" t="b">
        <v>0</v>
      </c>
      <c r="H11" s="9" t="b">
        <v>0</v>
      </c>
      <c r="I11" s="13">
        <f>IF(F11,0.5,0)+IF(G11,0.3,0)+IF(H11,0.2,0)</f>
        <v/>
      </c>
      <c r="J11" s="10" t="inlineStr"/>
    </row>
    <row r="12">
      <c r="A12" s="9" t="inlineStr">
        <is>
          <t>GS-1</t>
        </is>
      </c>
      <c r="B12" s="9" t="inlineStr">
        <is>
          <t>2021</t>
        </is>
      </c>
      <c r="C12" s="10" t="inlineStr">
        <is>
          <t>Q11 to Q20 (15 Marks / 250 Words)</t>
        </is>
      </c>
      <c r="D12" s="9" t="n">
        <v>10</v>
      </c>
      <c r="E12" s="10" t="inlineStr">
        <is>
          <t>15 Marks each</t>
        </is>
      </c>
      <c r="F12" s="9" t="b">
        <v>0</v>
      </c>
      <c r="G12" s="9" t="b">
        <v>0</v>
      </c>
      <c r="H12" s="9" t="b">
        <v>0</v>
      </c>
      <c r="I12" s="13">
        <f>IF(F12,0.5,0)+IF(G12,0.3,0)+IF(H12,0.2,0)</f>
        <v/>
      </c>
      <c r="J12" s="10" t="inlineStr"/>
    </row>
    <row r="13">
      <c r="A13" s="9" t="inlineStr">
        <is>
          <t>GS-1</t>
        </is>
      </c>
      <c r="B13" s="9" t="inlineStr">
        <is>
          <t>2020</t>
        </is>
      </c>
      <c r="C13" s="10" t="inlineStr">
        <is>
          <t>Q1 to Q10 (10 Marks / 150 Words)</t>
        </is>
      </c>
      <c r="D13" s="9" t="n">
        <v>10</v>
      </c>
      <c r="E13" s="10" t="inlineStr">
        <is>
          <t>10 Marks each</t>
        </is>
      </c>
      <c r="F13" s="9" t="b">
        <v>0</v>
      </c>
      <c r="G13" s="9" t="b">
        <v>0</v>
      </c>
      <c r="H13" s="9" t="b">
        <v>0</v>
      </c>
      <c r="I13" s="13">
        <f>IF(F13,0.5,0)+IF(G13,0.3,0)+IF(H13,0.2,0)</f>
        <v/>
      </c>
      <c r="J13" s="10" t="inlineStr"/>
    </row>
    <row r="14">
      <c r="A14" s="9" t="inlineStr">
        <is>
          <t>GS-1</t>
        </is>
      </c>
      <c r="B14" s="9" t="inlineStr">
        <is>
          <t>2020</t>
        </is>
      </c>
      <c r="C14" s="10" t="inlineStr">
        <is>
          <t>Q11 to Q20 (15 Marks / 250 Words)</t>
        </is>
      </c>
      <c r="D14" s="9" t="n">
        <v>10</v>
      </c>
      <c r="E14" s="10" t="inlineStr">
        <is>
          <t>15 Marks each</t>
        </is>
      </c>
      <c r="F14" s="9" t="b">
        <v>0</v>
      </c>
      <c r="G14" s="9" t="b">
        <v>0</v>
      </c>
      <c r="H14" s="9" t="b">
        <v>0</v>
      </c>
      <c r="I14" s="13">
        <f>IF(F14,0.5,0)+IF(G14,0.3,0)+IF(H14,0.2,0)</f>
        <v/>
      </c>
      <c r="J14" s="10" t="inlineStr"/>
    </row>
    <row r="15">
      <c r="A15" s="9" t="inlineStr">
        <is>
          <t>GS-2</t>
        </is>
      </c>
      <c r="B15" s="9" t="inlineStr">
        <is>
          <t>2024</t>
        </is>
      </c>
      <c r="C15" s="10" t="inlineStr">
        <is>
          <t>Q1 to Q10 (10 Marks / 150 Words)</t>
        </is>
      </c>
      <c r="D15" s="9" t="n">
        <v>10</v>
      </c>
      <c r="E15" s="10" t="inlineStr">
        <is>
          <t>10 Marks each</t>
        </is>
      </c>
      <c r="F15" s="9" t="b">
        <v>0</v>
      </c>
      <c r="G15" s="9" t="b">
        <v>0</v>
      </c>
      <c r="H15" s="9" t="b">
        <v>0</v>
      </c>
      <c r="I15" s="13">
        <f>IF(F15,0.5,0)+IF(G15,0.3,0)+IF(H15,0.2,0)</f>
        <v/>
      </c>
      <c r="J15" s="10" t="inlineStr"/>
    </row>
    <row r="16">
      <c r="A16" s="9" t="inlineStr">
        <is>
          <t>GS-2</t>
        </is>
      </c>
      <c r="B16" s="9" t="inlineStr">
        <is>
          <t>2024</t>
        </is>
      </c>
      <c r="C16" s="10" t="inlineStr">
        <is>
          <t>Q11 to Q20 (15 Marks / 250 Words)</t>
        </is>
      </c>
      <c r="D16" s="9" t="n">
        <v>10</v>
      </c>
      <c r="E16" s="10" t="inlineStr">
        <is>
          <t>15 Marks each</t>
        </is>
      </c>
      <c r="F16" s="9" t="b">
        <v>0</v>
      </c>
      <c r="G16" s="9" t="b">
        <v>0</v>
      </c>
      <c r="H16" s="9" t="b">
        <v>0</v>
      </c>
      <c r="I16" s="13">
        <f>IF(F16,0.5,0)+IF(G16,0.3,0)+IF(H16,0.2,0)</f>
        <v/>
      </c>
      <c r="J16" s="10" t="inlineStr"/>
    </row>
    <row r="17">
      <c r="A17" s="9" t="inlineStr">
        <is>
          <t>GS-2</t>
        </is>
      </c>
      <c r="B17" s="9" t="inlineStr">
        <is>
          <t>2023</t>
        </is>
      </c>
      <c r="C17" s="10" t="inlineStr">
        <is>
          <t>Q1 to Q10 (10 Marks / 150 Words)</t>
        </is>
      </c>
      <c r="D17" s="9" t="n">
        <v>10</v>
      </c>
      <c r="E17" s="10" t="inlineStr">
        <is>
          <t>10 Marks each</t>
        </is>
      </c>
      <c r="F17" s="9" t="b">
        <v>0</v>
      </c>
      <c r="G17" s="9" t="b">
        <v>0</v>
      </c>
      <c r="H17" s="9" t="b">
        <v>0</v>
      </c>
      <c r="I17" s="13">
        <f>IF(F17,0.5,0)+IF(G17,0.3,0)+IF(H17,0.2,0)</f>
        <v/>
      </c>
      <c r="J17" s="10" t="inlineStr"/>
    </row>
    <row r="18">
      <c r="A18" s="9" t="inlineStr">
        <is>
          <t>GS-2</t>
        </is>
      </c>
      <c r="B18" s="9" t="inlineStr">
        <is>
          <t>2023</t>
        </is>
      </c>
      <c r="C18" s="10" t="inlineStr">
        <is>
          <t>Q11 to Q20 (15 Marks / 250 Words)</t>
        </is>
      </c>
      <c r="D18" s="9" t="n">
        <v>10</v>
      </c>
      <c r="E18" s="10" t="inlineStr">
        <is>
          <t>15 Marks each</t>
        </is>
      </c>
      <c r="F18" s="9" t="b">
        <v>0</v>
      </c>
      <c r="G18" s="9" t="b">
        <v>0</v>
      </c>
      <c r="H18" s="9" t="b">
        <v>0</v>
      </c>
      <c r="I18" s="13">
        <f>IF(F18,0.5,0)+IF(G18,0.3,0)+IF(H18,0.2,0)</f>
        <v/>
      </c>
      <c r="J18" s="10" t="inlineStr"/>
    </row>
    <row r="19">
      <c r="A19" s="9" t="inlineStr">
        <is>
          <t>GS-2</t>
        </is>
      </c>
      <c r="B19" s="9" t="inlineStr">
        <is>
          <t>2022</t>
        </is>
      </c>
      <c r="C19" s="10" t="inlineStr">
        <is>
          <t>Q1 to Q10 (10 Marks / 150 Words)</t>
        </is>
      </c>
      <c r="D19" s="9" t="n">
        <v>10</v>
      </c>
      <c r="E19" s="10" t="inlineStr">
        <is>
          <t>10 Marks each</t>
        </is>
      </c>
      <c r="F19" s="9" t="b">
        <v>0</v>
      </c>
      <c r="G19" s="9" t="b">
        <v>0</v>
      </c>
      <c r="H19" s="9" t="b">
        <v>0</v>
      </c>
      <c r="I19" s="13">
        <f>IF(F19,0.5,0)+IF(G19,0.3,0)+IF(H19,0.2,0)</f>
        <v/>
      </c>
      <c r="J19" s="10" t="inlineStr"/>
    </row>
    <row r="20">
      <c r="A20" s="9" t="inlineStr">
        <is>
          <t>GS-2</t>
        </is>
      </c>
      <c r="B20" s="9" t="inlineStr">
        <is>
          <t>2022</t>
        </is>
      </c>
      <c r="C20" s="10" t="inlineStr">
        <is>
          <t>Q11 to Q20 (15 Marks / 250 Words)</t>
        </is>
      </c>
      <c r="D20" s="9" t="n">
        <v>10</v>
      </c>
      <c r="E20" s="10" t="inlineStr">
        <is>
          <t>15 Marks each</t>
        </is>
      </c>
      <c r="F20" s="9" t="b">
        <v>0</v>
      </c>
      <c r="G20" s="9" t="b">
        <v>0</v>
      </c>
      <c r="H20" s="9" t="b">
        <v>0</v>
      </c>
      <c r="I20" s="13">
        <f>IF(F20,0.5,0)+IF(G20,0.3,0)+IF(H20,0.2,0)</f>
        <v/>
      </c>
      <c r="J20" s="10" t="inlineStr"/>
    </row>
    <row r="21">
      <c r="A21" s="9" t="inlineStr">
        <is>
          <t>GS-2</t>
        </is>
      </c>
      <c r="B21" s="9" t="inlineStr">
        <is>
          <t>2021</t>
        </is>
      </c>
      <c r="C21" s="10" t="inlineStr">
        <is>
          <t>Q1 to Q10 (10 Marks / 150 Words)</t>
        </is>
      </c>
      <c r="D21" s="9" t="n">
        <v>10</v>
      </c>
      <c r="E21" s="10" t="inlineStr">
        <is>
          <t>10 Marks each</t>
        </is>
      </c>
      <c r="F21" s="9" t="b">
        <v>0</v>
      </c>
      <c r="G21" s="9" t="b">
        <v>0</v>
      </c>
      <c r="H21" s="9" t="b">
        <v>0</v>
      </c>
      <c r="I21" s="13">
        <f>IF(F21,0.5,0)+IF(G21,0.3,0)+IF(H21,0.2,0)</f>
        <v/>
      </c>
      <c r="J21" s="10" t="inlineStr"/>
    </row>
    <row r="22">
      <c r="A22" s="9" t="inlineStr">
        <is>
          <t>GS-2</t>
        </is>
      </c>
      <c r="B22" s="9" t="inlineStr">
        <is>
          <t>2021</t>
        </is>
      </c>
      <c r="C22" s="10" t="inlineStr">
        <is>
          <t>Q11 to Q20 (15 Marks / 250 Words)</t>
        </is>
      </c>
      <c r="D22" s="9" t="n">
        <v>10</v>
      </c>
      <c r="E22" s="10" t="inlineStr">
        <is>
          <t>15 Marks each</t>
        </is>
      </c>
      <c r="F22" s="9" t="b">
        <v>0</v>
      </c>
      <c r="G22" s="9" t="b">
        <v>0</v>
      </c>
      <c r="H22" s="9" t="b">
        <v>0</v>
      </c>
      <c r="I22" s="13">
        <f>IF(F22,0.5,0)+IF(G22,0.3,0)+IF(H22,0.2,0)</f>
        <v/>
      </c>
      <c r="J22" s="10" t="inlineStr"/>
    </row>
    <row r="23">
      <c r="A23" s="9" t="inlineStr">
        <is>
          <t>GS-2</t>
        </is>
      </c>
      <c r="B23" s="9" t="inlineStr">
        <is>
          <t>2020</t>
        </is>
      </c>
      <c r="C23" s="10" t="inlineStr">
        <is>
          <t>Q1 to Q10 (10 Marks / 150 Words)</t>
        </is>
      </c>
      <c r="D23" s="9" t="n">
        <v>10</v>
      </c>
      <c r="E23" s="10" t="inlineStr">
        <is>
          <t>10 Marks each</t>
        </is>
      </c>
      <c r="F23" s="9" t="b">
        <v>0</v>
      </c>
      <c r="G23" s="9" t="b">
        <v>0</v>
      </c>
      <c r="H23" s="9" t="b">
        <v>0</v>
      </c>
      <c r="I23" s="13">
        <f>IF(F23,0.5,0)+IF(G23,0.3,0)+IF(H23,0.2,0)</f>
        <v/>
      </c>
      <c r="J23" s="10" t="inlineStr"/>
    </row>
    <row r="24">
      <c r="A24" s="9" t="inlineStr">
        <is>
          <t>GS-2</t>
        </is>
      </c>
      <c r="B24" s="9" t="inlineStr">
        <is>
          <t>2020</t>
        </is>
      </c>
      <c r="C24" s="10" t="inlineStr">
        <is>
          <t>Q11 to Q20 (15 Marks / 250 Words)</t>
        </is>
      </c>
      <c r="D24" s="9" t="n">
        <v>10</v>
      </c>
      <c r="E24" s="10" t="inlineStr">
        <is>
          <t>15 Marks each</t>
        </is>
      </c>
      <c r="F24" s="9" t="b">
        <v>0</v>
      </c>
      <c r="G24" s="9" t="b">
        <v>0</v>
      </c>
      <c r="H24" s="9" t="b">
        <v>0</v>
      </c>
      <c r="I24" s="13">
        <f>IF(F24,0.5,0)+IF(G24,0.3,0)+IF(H24,0.2,0)</f>
        <v/>
      </c>
      <c r="J24" s="10" t="inlineStr"/>
    </row>
    <row r="25">
      <c r="A25" s="9" t="inlineStr">
        <is>
          <t>GS-3</t>
        </is>
      </c>
      <c r="B25" s="9" t="inlineStr">
        <is>
          <t>2024</t>
        </is>
      </c>
      <c r="C25" s="10" t="inlineStr">
        <is>
          <t>Q1 to Q10 (10 Marks / 150 Words)</t>
        </is>
      </c>
      <c r="D25" s="9" t="n">
        <v>10</v>
      </c>
      <c r="E25" s="10" t="inlineStr">
        <is>
          <t>10 Marks each</t>
        </is>
      </c>
      <c r="F25" s="9" t="b">
        <v>0</v>
      </c>
      <c r="G25" s="9" t="b">
        <v>0</v>
      </c>
      <c r="H25" s="9" t="b">
        <v>0</v>
      </c>
      <c r="I25" s="13">
        <f>IF(F25,0.5,0)+IF(G25,0.3,0)+IF(H25,0.2,0)</f>
        <v/>
      </c>
      <c r="J25" s="10" t="inlineStr"/>
    </row>
    <row r="26">
      <c r="A26" s="9" t="inlineStr">
        <is>
          <t>GS-3</t>
        </is>
      </c>
      <c r="B26" s="9" t="inlineStr">
        <is>
          <t>2024</t>
        </is>
      </c>
      <c r="C26" s="10" t="inlineStr">
        <is>
          <t>Q11 to Q20 (15 Marks / 250 Words)</t>
        </is>
      </c>
      <c r="D26" s="9" t="n">
        <v>10</v>
      </c>
      <c r="E26" s="10" t="inlineStr">
        <is>
          <t>15 Marks each</t>
        </is>
      </c>
      <c r="F26" s="9" t="b">
        <v>0</v>
      </c>
      <c r="G26" s="9" t="b">
        <v>0</v>
      </c>
      <c r="H26" s="9" t="b">
        <v>0</v>
      </c>
      <c r="I26" s="13">
        <f>IF(F26,0.5,0)+IF(G26,0.3,0)+IF(H26,0.2,0)</f>
        <v/>
      </c>
      <c r="J26" s="10" t="inlineStr"/>
    </row>
    <row r="27">
      <c r="A27" s="9" t="inlineStr">
        <is>
          <t>GS-3</t>
        </is>
      </c>
      <c r="B27" s="9" t="inlineStr">
        <is>
          <t>2023</t>
        </is>
      </c>
      <c r="C27" s="10" t="inlineStr">
        <is>
          <t>Q1 to Q10 (10 Marks / 150 Words)</t>
        </is>
      </c>
      <c r="D27" s="9" t="n">
        <v>10</v>
      </c>
      <c r="E27" s="10" t="inlineStr">
        <is>
          <t>10 Marks each</t>
        </is>
      </c>
      <c r="F27" s="9" t="b">
        <v>0</v>
      </c>
      <c r="G27" s="9" t="b">
        <v>0</v>
      </c>
      <c r="H27" s="9" t="b">
        <v>0</v>
      </c>
      <c r="I27" s="13">
        <f>IF(F27,0.5,0)+IF(G27,0.3,0)+IF(H27,0.2,0)</f>
        <v/>
      </c>
      <c r="J27" s="10" t="inlineStr"/>
    </row>
    <row r="28">
      <c r="A28" s="9" t="inlineStr">
        <is>
          <t>GS-3</t>
        </is>
      </c>
      <c r="B28" s="9" t="inlineStr">
        <is>
          <t>2023</t>
        </is>
      </c>
      <c r="C28" s="10" t="inlineStr">
        <is>
          <t>Q11 to Q20 (15 Marks / 250 Words)</t>
        </is>
      </c>
      <c r="D28" s="9" t="n">
        <v>10</v>
      </c>
      <c r="E28" s="10" t="inlineStr">
        <is>
          <t>15 Marks each</t>
        </is>
      </c>
      <c r="F28" s="9" t="b">
        <v>0</v>
      </c>
      <c r="G28" s="9" t="b">
        <v>0</v>
      </c>
      <c r="H28" s="9" t="b">
        <v>0</v>
      </c>
      <c r="I28" s="13">
        <f>IF(F28,0.5,0)+IF(G28,0.3,0)+IF(H28,0.2,0)</f>
        <v/>
      </c>
      <c r="J28" s="10" t="inlineStr"/>
    </row>
    <row r="29">
      <c r="A29" s="9" t="inlineStr">
        <is>
          <t>GS-3</t>
        </is>
      </c>
      <c r="B29" s="9" t="inlineStr">
        <is>
          <t>2022</t>
        </is>
      </c>
      <c r="C29" s="10" t="inlineStr">
        <is>
          <t>Q1 to Q10 (10 Marks / 150 Words)</t>
        </is>
      </c>
      <c r="D29" s="9" t="n">
        <v>10</v>
      </c>
      <c r="E29" s="10" t="inlineStr">
        <is>
          <t>10 Marks each</t>
        </is>
      </c>
      <c r="F29" s="9" t="b">
        <v>0</v>
      </c>
      <c r="G29" s="9" t="b">
        <v>0</v>
      </c>
      <c r="H29" s="9" t="b">
        <v>0</v>
      </c>
      <c r="I29" s="13">
        <f>IF(F29,0.5,0)+IF(G29,0.3,0)+IF(H29,0.2,0)</f>
        <v/>
      </c>
      <c r="J29" s="10" t="inlineStr"/>
    </row>
    <row r="30">
      <c r="A30" s="9" t="inlineStr">
        <is>
          <t>GS-3</t>
        </is>
      </c>
      <c r="B30" s="9" t="inlineStr">
        <is>
          <t>2022</t>
        </is>
      </c>
      <c r="C30" s="10" t="inlineStr">
        <is>
          <t>Q11 to Q20 (15 Marks / 250 Words)</t>
        </is>
      </c>
      <c r="D30" s="9" t="n">
        <v>10</v>
      </c>
      <c r="E30" s="10" t="inlineStr">
        <is>
          <t>15 Marks each</t>
        </is>
      </c>
      <c r="F30" s="9" t="b">
        <v>0</v>
      </c>
      <c r="G30" s="9" t="b">
        <v>0</v>
      </c>
      <c r="H30" s="9" t="b">
        <v>0</v>
      </c>
      <c r="I30" s="13">
        <f>IF(F30,0.5,0)+IF(G30,0.3,0)+IF(H30,0.2,0)</f>
        <v/>
      </c>
      <c r="J30" s="10" t="inlineStr"/>
    </row>
    <row r="31">
      <c r="A31" s="9" t="inlineStr">
        <is>
          <t>GS-3</t>
        </is>
      </c>
      <c r="B31" s="9" t="inlineStr">
        <is>
          <t>2021</t>
        </is>
      </c>
      <c r="C31" s="10" t="inlineStr">
        <is>
          <t>Q1 to Q10 (10 Marks / 150 Words)</t>
        </is>
      </c>
      <c r="D31" s="9" t="n">
        <v>10</v>
      </c>
      <c r="E31" s="10" t="inlineStr">
        <is>
          <t>10 Marks each</t>
        </is>
      </c>
      <c r="F31" s="9" t="b">
        <v>0</v>
      </c>
      <c r="G31" s="9" t="b">
        <v>0</v>
      </c>
      <c r="H31" s="9" t="b">
        <v>0</v>
      </c>
      <c r="I31" s="13">
        <f>IF(F31,0.5,0)+IF(G31,0.3,0)+IF(H31,0.2,0)</f>
        <v/>
      </c>
      <c r="J31" s="10" t="inlineStr"/>
    </row>
    <row r="32">
      <c r="A32" s="9" t="inlineStr">
        <is>
          <t>GS-3</t>
        </is>
      </c>
      <c r="B32" s="9" t="inlineStr">
        <is>
          <t>2021</t>
        </is>
      </c>
      <c r="C32" s="10" t="inlineStr">
        <is>
          <t>Q11 to Q20 (15 Marks / 250 Words)</t>
        </is>
      </c>
      <c r="D32" s="9" t="n">
        <v>10</v>
      </c>
      <c r="E32" s="10" t="inlineStr">
        <is>
          <t>15 Marks each</t>
        </is>
      </c>
      <c r="F32" s="9" t="b">
        <v>0</v>
      </c>
      <c r="G32" s="9" t="b">
        <v>0</v>
      </c>
      <c r="H32" s="9" t="b">
        <v>0</v>
      </c>
      <c r="I32" s="13">
        <f>IF(F32,0.5,0)+IF(G32,0.3,0)+IF(H32,0.2,0)</f>
        <v/>
      </c>
      <c r="J32" s="10" t="inlineStr"/>
    </row>
    <row r="33">
      <c r="A33" s="9" t="inlineStr">
        <is>
          <t>GS-3</t>
        </is>
      </c>
      <c r="B33" s="9" t="inlineStr">
        <is>
          <t>2020</t>
        </is>
      </c>
      <c r="C33" s="10" t="inlineStr">
        <is>
          <t>Q1 to Q10 (10 Marks / 150 Words)</t>
        </is>
      </c>
      <c r="D33" s="9" t="n">
        <v>10</v>
      </c>
      <c r="E33" s="10" t="inlineStr">
        <is>
          <t>10 Marks each</t>
        </is>
      </c>
      <c r="F33" s="9" t="b">
        <v>0</v>
      </c>
      <c r="G33" s="9" t="b">
        <v>0</v>
      </c>
      <c r="H33" s="9" t="b">
        <v>0</v>
      </c>
      <c r="I33" s="13">
        <f>IF(F33,0.5,0)+IF(G33,0.3,0)+IF(H33,0.2,0)</f>
        <v/>
      </c>
      <c r="J33" s="10" t="inlineStr"/>
    </row>
    <row r="34">
      <c r="A34" s="9" t="inlineStr">
        <is>
          <t>GS-3</t>
        </is>
      </c>
      <c r="B34" s="9" t="inlineStr">
        <is>
          <t>2020</t>
        </is>
      </c>
      <c r="C34" s="10" t="inlineStr">
        <is>
          <t>Q11 to Q20 (15 Marks / 250 Words)</t>
        </is>
      </c>
      <c r="D34" s="9" t="n">
        <v>10</v>
      </c>
      <c r="E34" s="10" t="inlineStr">
        <is>
          <t>15 Marks each</t>
        </is>
      </c>
      <c r="F34" s="9" t="b">
        <v>0</v>
      </c>
      <c r="G34" s="9" t="b">
        <v>0</v>
      </c>
      <c r="H34" s="9" t="b">
        <v>0</v>
      </c>
      <c r="I34" s="13">
        <f>IF(F34,0.5,0)+IF(G34,0.3,0)+IF(H34,0.2,0)</f>
        <v/>
      </c>
      <c r="J34" s="10" t="inlineStr"/>
    </row>
    <row r="35">
      <c r="A35" s="9" t="inlineStr">
        <is>
          <t>GS-4</t>
        </is>
      </c>
      <c r="B35" s="9" t="inlineStr">
        <is>
          <t>2024</t>
        </is>
      </c>
      <c r="C35" s="10" t="inlineStr">
        <is>
          <t>Section A — Theory (Q1 to Q6)</t>
        </is>
      </c>
      <c r="D35" s="9" t="n">
        <v>6</v>
      </c>
      <c r="E35" s="10" t="inlineStr">
        <is>
          <t>10M / Sub-parts</t>
        </is>
      </c>
      <c r="F35" s="9" t="b">
        <v>0</v>
      </c>
      <c r="G35" s="9" t="b">
        <v>0</v>
      </c>
      <c r="H35" s="9" t="b">
        <v>0</v>
      </c>
      <c r="I35" s="13">
        <f>IF(F35,0.5,0)+IF(G35,0.3,0)+IF(H35,0.2,0)</f>
        <v/>
      </c>
      <c r="J35" s="10" t="inlineStr"/>
    </row>
    <row r="36">
      <c r="A36" s="9" t="inlineStr">
        <is>
          <t>GS-4</t>
        </is>
      </c>
      <c r="B36" s="9" t="inlineStr">
        <is>
          <t>2024</t>
        </is>
      </c>
      <c r="C36" s="10" t="inlineStr">
        <is>
          <t>Section B — Case Studies (Q7 to Q12)</t>
        </is>
      </c>
      <c r="D36" s="9" t="n">
        <v>6</v>
      </c>
      <c r="E36" s="10" t="inlineStr">
        <is>
          <t>20 Marks each</t>
        </is>
      </c>
      <c r="F36" s="9" t="b">
        <v>0</v>
      </c>
      <c r="G36" s="9" t="b">
        <v>0</v>
      </c>
      <c r="H36" s="9" t="b">
        <v>0</v>
      </c>
      <c r="I36" s="13">
        <f>IF(F36,0.5,0)+IF(G36,0.3,0)+IF(H36,0.2,0)</f>
        <v/>
      </c>
      <c r="J36" s="10" t="inlineStr"/>
    </row>
    <row r="37">
      <c r="A37" s="9" t="inlineStr">
        <is>
          <t>GS-4</t>
        </is>
      </c>
      <c r="B37" s="9" t="inlineStr">
        <is>
          <t>2023</t>
        </is>
      </c>
      <c r="C37" s="10" t="inlineStr">
        <is>
          <t>Section A — Theory (Q1 to Q6)</t>
        </is>
      </c>
      <c r="D37" s="9" t="n">
        <v>6</v>
      </c>
      <c r="E37" s="10" t="inlineStr">
        <is>
          <t>10M / Sub-parts</t>
        </is>
      </c>
      <c r="F37" s="9" t="b">
        <v>0</v>
      </c>
      <c r="G37" s="9" t="b">
        <v>0</v>
      </c>
      <c r="H37" s="9" t="b">
        <v>0</v>
      </c>
      <c r="I37" s="13">
        <f>IF(F37,0.5,0)+IF(G37,0.3,0)+IF(H37,0.2,0)</f>
        <v/>
      </c>
      <c r="J37" s="10" t="inlineStr"/>
    </row>
    <row r="38">
      <c r="A38" s="9" t="inlineStr">
        <is>
          <t>GS-4</t>
        </is>
      </c>
      <c r="B38" s="9" t="inlineStr">
        <is>
          <t>2023</t>
        </is>
      </c>
      <c r="C38" s="10" t="inlineStr">
        <is>
          <t>Section B — Case Studies (Q7 to Q12)</t>
        </is>
      </c>
      <c r="D38" s="9" t="n">
        <v>6</v>
      </c>
      <c r="E38" s="10" t="inlineStr">
        <is>
          <t>20 Marks each</t>
        </is>
      </c>
      <c r="F38" s="9" t="b">
        <v>0</v>
      </c>
      <c r="G38" s="9" t="b">
        <v>0</v>
      </c>
      <c r="H38" s="9" t="b">
        <v>0</v>
      </c>
      <c r="I38" s="13">
        <f>IF(F38,0.5,0)+IF(G38,0.3,0)+IF(H38,0.2,0)</f>
        <v/>
      </c>
      <c r="J38" s="10" t="inlineStr"/>
    </row>
    <row r="39">
      <c r="A39" s="9" t="inlineStr">
        <is>
          <t>GS-4</t>
        </is>
      </c>
      <c r="B39" s="9" t="inlineStr">
        <is>
          <t>2022</t>
        </is>
      </c>
      <c r="C39" s="10" t="inlineStr">
        <is>
          <t>Section A — Theory (Q1 to Q6)</t>
        </is>
      </c>
      <c r="D39" s="9" t="n">
        <v>6</v>
      </c>
      <c r="E39" s="10" t="inlineStr">
        <is>
          <t>10M / Sub-parts</t>
        </is>
      </c>
      <c r="F39" s="9" t="b">
        <v>0</v>
      </c>
      <c r="G39" s="9" t="b">
        <v>0</v>
      </c>
      <c r="H39" s="9" t="b">
        <v>0</v>
      </c>
      <c r="I39" s="13">
        <f>IF(F39,0.5,0)+IF(G39,0.3,0)+IF(H39,0.2,0)</f>
        <v/>
      </c>
      <c r="J39" s="10" t="inlineStr"/>
    </row>
    <row r="40">
      <c r="A40" s="9" t="inlineStr">
        <is>
          <t>GS-4</t>
        </is>
      </c>
      <c r="B40" s="9" t="inlineStr">
        <is>
          <t>2022</t>
        </is>
      </c>
      <c r="C40" s="10" t="inlineStr">
        <is>
          <t>Section B — Case Studies (Q7 to Q12)</t>
        </is>
      </c>
      <c r="D40" s="9" t="n">
        <v>6</v>
      </c>
      <c r="E40" s="10" t="inlineStr">
        <is>
          <t>20 Marks each</t>
        </is>
      </c>
      <c r="F40" s="9" t="b">
        <v>0</v>
      </c>
      <c r="G40" s="9" t="b">
        <v>0</v>
      </c>
      <c r="H40" s="9" t="b">
        <v>0</v>
      </c>
      <c r="I40" s="13">
        <f>IF(F40,0.5,0)+IF(G40,0.3,0)+IF(H40,0.2,0)</f>
        <v/>
      </c>
      <c r="J40" s="10" t="inlineStr"/>
    </row>
    <row r="41">
      <c r="A41" s="9" t="inlineStr">
        <is>
          <t>GS-4</t>
        </is>
      </c>
      <c r="B41" s="9" t="inlineStr">
        <is>
          <t>2021</t>
        </is>
      </c>
      <c r="C41" s="10" t="inlineStr">
        <is>
          <t>Section A — Theory (Q1 to Q6)</t>
        </is>
      </c>
      <c r="D41" s="9" t="n">
        <v>6</v>
      </c>
      <c r="E41" s="10" t="inlineStr">
        <is>
          <t>10M / Sub-parts</t>
        </is>
      </c>
      <c r="F41" s="9" t="b">
        <v>0</v>
      </c>
      <c r="G41" s="9" t="b">
        <v>0</v>
      </c>
      <c r="H41" s="9" t="b">
        <v>0</v>
      </c>
      <c r="I41" s="13">
        <f>IF(F41,0.5,0)+IF(G41,0.3,0)+IF(H41,0.2,0)</f>
        <v/>
      </c>
      <c r="J41" s="10" t="inlineStr"/>
    </row>
    <row r="42">
      <c r="A42" s="9" t="inlineStr">
        <is>
          <t>GS-4</t>
        </is>
      </c>
      <c r="B42" s="9" t="inlineStr">
        <is>
          <t>2021</t>
        </is>
      </c>
      <c r="C42" s="10" t="inlineStr">
        <is>
          <t>Section B — Case Studies (Q7 to Q12)</t>
        </is>
      </c>
      <c r="D42" s="9" t="n">
        <v>6</v>
      </c>
      <c r="E42" s="10" t="inlineStr">
        <is>
          <t>20 Marks each</t>
        </is>
      </c>
      <c r="F42" s="9" t="b">
        <v>0</v>
      </c>
      <c r="G42" s="9" t="b">
        <v>0</v>
      </c>
      <c r="H42" s="9" t="b">
        <v>0</v>
      </c>
      <c r="I42" s="13">
        <f>IF(F42,0.5,0)+IF(G42,0.3,0)+IF(H42,0.2,0)</f>
        <v/>
      </c>
      <c r="J42" s="10" t="inlineStr"/>
    </row>
    <row r="43">
      <c r="A43" s="9" t="inlineStr">
        <is>
          <t>GS-4</t>
        </is>
      </c>
      <c r="B43" s="9" t="inlineStr">
        <is>
          <t>2020</t>
        </is>
      </c>
      <c r="C43" s="10" t="inlineStr">
        <is>
          <t>Section A — Theory (Q1 to Q6)</t>
        </is>
      </c>
      <c r="D43" s="9" t="n">
        <v>6</v>
      </c>
      <c r="E43" s="10" t="inlineStr">
        <is>
          <t>10M / Sub-parts</t>
        </is>
      </c>
      <c r="F43" s="9" t="b">
        <v>0</v>
      </c>
      <c r="G43" s="9" t="b">
        <v>0</v>
      </c>
      <c r="H43" s="9" t="b">
        <v>0</v>
      </c>
      <c r="I43" s="13">
        <f>IF(F43,0.5,0)+IF(G43,0.3,0)+IF(H43,0.2,0)</f>
        <v/>
      </c>
      <c r="J43" s="10" t="inlineStr"/>
    </row>
    <row r="44">
      <c r="A44" s="9" t="inlineStr">
        <is>
          <t>GS-4</t>
        </is>
      </c>
      <c r="B44" s="9" t="inlineStr">
        <is>
          <t>2020</t>
        </is>
      </c>
      <c r="C44" s="10" t="inlineStr">
        <is>
          <t>Section B — Case Studies (Q7 to Q12)</t>
        </is>
      </c>
      <c r="D44" s="9" t="n">
        <v>6</v>
      </c>
      <c r="E44" s="10" t="inlineStr">
        <is>
          <t>20 Marks each</t>
        </is>
      </c>
      <c r="F44" s="9" t="b">
        <v>0</v>
      </c>
      <c r="G44" s="9" t="b">
        <v>0</v>
      </c>
      <c r="H44" s="9" t="b">
        <v>0</v>
      </c>
      <c r="I44" s="13">
        <f>IF(F44,0.5,0)+IF(G44,0.3,0)+IF(H44,0.2,0)</f>
        <v/>
      </c>
      <c r="J44" s="10" t="inlineStr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15" customWidth="1" min="4" max="4"/>
    <col width="15" customWidth="1" min="5" max="5"/>
    <col width="18" customWidth="1" min="6" max="6"/>
    <col width="16" customWidth="1" min="7" max="7"/>
    <col width="12" customWidth="1" min="8" max="8"/>
  </cols>
  <sheetData>
    <row r="1" ht="30" customHeight="1">
      <c r="A1" s="1" t="inlineStr">
        <is>
          <t>UPSC Mains — Essay &amp; Generic Copies Tracker</t>
        </is>
      </c>
    </row>
    <row r="2" ht="18" customHeight="1">
      <c r="A2" s="2" t="inlineStr">
        <is>
          <t>Smartworks Full Mocks + Notes Revision + Answer Writing Copies</t>
        </is>
      </c>
    </row>
    <row r="3" ht="20" customHeight="1">
      <c r="A3" s="3">
        <f>"Progress "&amp;TEXT(AVERAGE(G5:G19),"0%")&amp;"   "&amp;REPT("█",ROUND(AVERAGE(G5:G19)*20,0))&amp;REPT("░",20-ROUND(AVERAGE(G5:G19)*20,0))&amp;"  ·  Total Items: 15  ·  Completed: "&amp;COUNTIF(G5:G19,1)</f>
        <v/>
      </c>
    </row>
    <row r="4" ht="24" customHeight="1">
      <c r="A4" s="12" t="inlineStr">
        <is>
          <t>Category</t>
        </is>
      </c>
      <c r="B4" s="12" t="inlineStr">
        <is>
          <t>Test Name / Details</t>
        </is>
      </c>
      <c r="C4" s="12" t="inlineStr">
        <is>
          <t>Source / Format</t>
        </is>
      </c>
      <c r="D4" s="12" t="inlineStr">
        <is>
          <t>Target Time</t>
        </is>
      </c>
      <c r="E4" s="12" t="inlineStr">
        <is>
          <t>Target Date</t>
        </is>
      </c>
      <c r="F4" s="12" t="inlineStr">
        <is>
          <t>Written / Done</t>
        </is>
      </c>
      <c r="G4" s="12" t="inlineStr">
        <is>
          <t>Progress %</t>
        </is>
      </c>
      <c r="H4" s="12" t="inlineStr">
        <is>
          <t>Remarks</t>
        </is>
      </c>
    </row>
    <row r="5">
      <c r="A5" s="10" t="inlineStr">
        <is>
          <t>Essay Revision</t>
        </is>
      </c>
      <c r="B5" s="10" t="inlineStr">
        <is>
          <t>Notes Revision</t>
        </is>
      </c>
      <c r="C5" s="10" t="inlineStr">
        <is>
          <t>Self Notes</t>
        </is>
      </c>
      <c r="D5" s="10" t="inlineStr">
        <is>
          <t>3 hr</t>
        </is>
      </c>
      <c r="E5" s="9" t="inlineStr"/>
      <c r="F5" s="9" t="b">
        <v>0</v>
      </c>
      <c r="G5" s="13">
        <f>IF(F5,1,0)</f>
        <v/>
      </c>
      <c r="H5" s="10" t="inlineStr"/>
    </row>
    <row r="6">
      <c r="A6" s="10" t="inlineStr">
        <is>
          <t>Essay Mock</t>
        </is>
      </c>
      <c r="B6" s="10" t="inlineStr">
        <is>
          <t>Full Mock 2603 EY</t>
        </is>
      </c>
      <c r="C6" s="10" t="inlineStr">
        <is>
          <t>Smartworks (SWL)</t>
        </is>
      </c>
      <c r="D6" s="10" t="inlineStr">
        <is>
          <t>3 hr</t>
        </is>
      </c>
      <c r="E6" s="9" t="inlineStr"/>
      <c r="F6" s="9" t="b">
        <v>0</v>
      </c>
      <c r="G6" s="13">
        <f>IF(F6,1,0)</f>
        <v/>
      </c>
      <c r="H6" s="10" t="inlineStr"/>
    </row>
    <row r="7">
      <c r="A7" s="10" t="inlineStr">
        <is>
          <t>Essay Mock</t>
        </is>
      </c>
      <c r="B7" s="10" t="inlineStr">
        <is>
          <t>Full Mock 2602 EY</t>
        </is>
      </c>
      <c r="C7" s="10" t="inlineStr">
        <is>
          <t>Smartworks (SWL)</t>
        </is>
      </c>
      <c r="D7" s="10" t="inlineStr">
        <is>
          <t>3 hr</t>
        </is>
      </c>
      <c r="E7" s="9" t="inlineStr"/>
      <c r="F7" s="9" t="b">
        <v>0</v>
      </c>
      <c r="G7" s="13">
        <f>IF(F7,1,0)</f>
        <v/>
      </c>
      <c r="H7" s="10" t="inlineStr"/>
    </row>
    <row r="8">
      <c r="A8" s="10" t="inlineStr">
        <is>
          <t>Essay Mock</t>
        </is>
      </c>
      <c r="B8" s="10" t="inlineStr">
        <is>
          <t>Full Mock 2601 EY</t>
        </is>
      </c>
      <c r="C8" s="10" t="inlineStr">
        <is>
          <t>Smartworks (SWL)</t>
        </is>
      </c>
      <c r="D8" s="10" t="inlineStr">
        <is>
          <t>3 hr</t>
        </is>
      </c>
      <c r="E8" s="9" t="inlineStr"/>
      <c r="F8" s="9" t="b">
        <v>0</v>
      </c>
      <c r="G8" s="13">
        <f>IF(F8,1,0)</f>
        <v/>
      </c>
      <c r="H8" s="10" t="inlineStr"/>
    </row>
    <row r="9">
      <c r="A9" s="10" t="inlineStr">
        <is>
          <t>Essay Mock</t>
        </is>
      </c>
      <c r="B9" s="10" t="inlineStr">
        <is>
          <t>Full Mock 2604 EY</t>
        </is>
      </c>
      <c r="C9" s="10" t="inlineStr">
        <is>
          <t>Smartworks (SWL)</t>
        </is>
      </c>
      <c r="D9" s="10" t="inlineStr">
        <is>
          <t>3 hr</t>
        </is>
      </c>
      <c r="E9" s="9" t="inlineStr"/>
      <c r="F9" s="9" t="b">
        <v>0</v>
      </c>
      <c r="G9" s="13">
        <f>IF(F9,1,0)</f>
        <v/>
      </c>
      <c r="H9" s="10" t="inlineStr"/>
    </row>
    <row r="10">
      <c r="A10" s="10" t="inlineStr">
        <is>
          <t>Generic Copies</t>
        </is>
      </c>
      <c r="B10" s="10" t="inlineStr">
        <is>
          <t>Full Test Generic Copy 1</t>
        </is>
      </c>
      <c r="C10" s="10" t="inlineStr">
        <is>
          <t>Blank Answer Copy</t>
        </is>
      </c>
      <c r="D10" s="10" t="inlineStr">
        <is>
          <t>Full Length</t>
        </is>
      </c>
      <c r="E10" s="9" t="inlineStr"/>
      <c r="F10" s="9" t="b">
        <v>0</v>
      </c>
      <c r="G10" s="13">
        <f>IF(F10,1,0)</f>
        <v/>
      </c>
      <c r="H10" s="10" t="inlineStr"/>
    </row>
    <row r="11">
      <c r="A11" s="10" t="inlineStr">
        <is>
          <t>Generic Copies</t>
        </is>
      </c>
      <c r="B11" s="10" t="inlineStr">
        <is>
          <t>Full Test Generic Copy 2</t>
        </is>
      </c>
      <c r="C11" s="10" t="inlineStr">
        <is>
          <t>Blank Answer Copy</t>
        </is>
      </c>
      <c r="D11" s="10" t="inlineStr">
        <is>
          <t>Full Length</t>
        </is>
      </c>
      <c r="E11" s="9" t="inlineStr"/>
      <c r="F11" s="9" t="b">
        <v>0</v>
      </c>
      <c r="G11" s="13">
        <f>IF(F11,1,0)</f>
        <v/>
      </c>
      <c r="H11" s="10" t="inlineStr"/>
    </row>
    <row r="12">
      <c r="A12" s="10" t="inlineStr">
        <is>
          <t>Generic Copies</t>
        </is>
      </c>
      <c r="B12" s="10" t="inlineStr">
        <is>
          <t>Full Test Generic Copy 3</t>
        </is>
      </c>
      <c r="C12" s="10" t="inlineStr">
        <is>
          <t>Blank Answer Copy</t>
        </is>
      </c>
      <c r="D12" s="10" t="inlineStr">
        <is>
          <t>Full Length</t>
        </is>
      </c>
      <c r="E12" s="9" t="inlineStr"/>
      <c r="F12" s="9" t="b">
        <v>0</v>
      </c>
      <c r="G12" s="13">
        <f>IF(F12,1,0)</f>
        <v/>
      </c>
      <c r="H12" s="10" t="inlineStr"/>
    </row>
    <row r="13">
      <c r="A13" s="10" t="inlineStr">
        <is>
          <t>Generic Copies</t>
        </is>
      </c>
      <c r="B13" s="10" t="inlineStr">
        <is>
          <t>Full Test Generic Copy 4</t>
        </is>
      </c>
      <c r="C13" s="10" t="inlineStr">
        <is>
          <t>Blank Answer Copy</t>
        </is>
      </c>
      <c r="D13" s="10" t="inlineStr">
        <is>
          <t>Full Length</t>
        </is>
      </c>
      <c r="E13" s="9" t="inlineStr"/>
      <c r="F13" s="9" t="b">
        <v>0</v>
      </c>
      <c r="G13" s="13">
        <f>IF(F13,1,0)</f>
        <v/>
      </c>
      <c r="H13" s="10" t="inlineStr"/>
    </row>
    <row r="14">
      <c r="A14" s="10" t="inlineStr">
        <is>
          <t>Generic Copies</t>
        </is>
      </c>
      <c r="B14" s="10" t="inlineStr">
        <is>
          <t>Full Test Generic Copy 5</t>
        </is>
      </c>
      <c r="C14" s="10" t="inlineStr">
        <is>
          <t>Blank Answer Copy</t>
        </is>
      </c>
      <c r="D14" s="10" t="inlineStr">
        <is>
          <t>Full Length</t>
        </is>
      </c>
      <c r="E14" s="9" t="inlineStr"/>
      <c r="F14" s="9" t="b">
        <v>0</v>
      </c>
      <c r="G14" s="13">
        <f>IF(F14,1,0)</f>
        <v/>
      </c>
      <c r="H14" s="10" t="inlineStr"/>
    </row>
    <row r="15">
      <c r="A15" s="10" t="inlineStr">
        <is>
          <t>Generic Copies</t>
        </is>
      </c>
      <c r="B15" s="10" t="inlineStr">
        <is>
          <t>Half Test Generic Copy 1</t>
        </is>
      </c>
      <c r="C15" s="10" t="inlineStr">
        <is>
          <t>Blank Answer Copy</t>
        </is>
      </c>
      <c r="D15" s="10" t="inlineStr">
        <is>
          <t>Half Test</t>
        </is>
      </c>
      <c r="E15" s="9" t="inlineStr"/>
      <c r="F15" s="9" t="b">
        <v>0</v>
      </c>
      <c r="G15" s="13">
        <f>IF(F15,1,0)</f>
        <v/>
      </c>
      <c r="H15" s="10" t="inlineStr"/>
    </row>
    <row r="16">
      <c r="A16" s="10" t="inlineStr">
        <is>
          <t>Generic Copies</t>
        </is>
      </c>
      <c r="B16" s="10" t="inlineStr">
        <is>
          <t>Half Test Generic Copy 2</t>
        </is>
      </c>
      <c r="C16" s="10" t="inlineStr">
        <is>
          <t>Blank Answer Copy</t>
        </is>
      </c>
      <c r="D16" s="10" t="inlineStr">
        <is>
          <t>Half Test</t>
        </is>
      </c>
      <c r="E16" s="9" t="inlineStr"/>
      <c r="F16" s="9" t="b">
        <v>0</v>
      </c>
      <c r="G16" s="13">
        <f>IF(F16,1,0)</f>
        <v/>
      </c>
      <c r="H16" s="10" t="inlineStr"/>
    </row>
    <row r="17">
      <c r="A17" s="10" t="inlineStr">
        <is>
          <t>Generic Copies</t>
        </is>
      </c>
      <c r="B17" s="10" t="inlineStr">
        <is>
          <t>Half Test Generic Copy 3</t>
        </is>
      </c>
      <c r="C17" s="10" t="inlineStr">
        <is>
          <t>Blank Answer Copy</t>
        </is>
      </c>
      <c r="D17" s="10" t="inlineStr">
        <is>
          <t>Half Test</t>
        </is>
      </c>
      <c r="E17" s="9" t="inlineStr"/>
      <c r="F17" s="9" t="b">
        <v>0</v>
      </c>
      <c r="G17" s="13">
        <f>IF(F17,1,0)</f>
        <v/>
      </c>
      <c r="H17" s="10" t="inlineStr"/>
    </row>
    <row r="18">
      <c r="A18" s="10" t="inlineStr">
        <is>
          <t>Generic Copies</t>
        </is>
      </c>
      <c r="B18" s="10" t="inlineStr">
        <is>
          <t>Specimen Copy 1</t>
        </is>
      </c>
      <c r="C18" s="10" t="inlineStr">
        <is>
          <t>Specimen Answer Copy</t>
        </is>
      </c>
      <c r="D18" s="10" t="inlineStr">
        <is>
          <t>Specimen</t>
        </is>
      </c>
      <c r="E18" s="9" t="inlineStr"/>
      <c r="F18" s="9" t="b">
        <v>0</v>
      </c>
      <c r="G18" s="13">
        <f>IF(F18,1,0)</f>
        <v/>
      </c>
      <c r="H18" s="10" t="inlineStr"/>
    </row>
    <row r="19">
      <c r="A19" s="10" t="inlineStr">
        <is>
          <t>Generic Copies</t>
        </is>
      </c>
      <c r="B19" s="10" t="inlineStr">
        <is>
          <t>Specimen Copy 2</t>
        </is>
      </c>
      <c r="C19" s="10" t="inlineStr">
        <is>
          <t>Specimen Answer Copy</t>
        </is>
      </c>
      <c r="D19" s="10" t="inlineStr">
        <is>
          <t>Specimen</t>
        </is>
      </c>
      <c r="E19" s="9" t="inlineStr"/>
      <c r="F19" s="9" t="b">
        <v>0</v>
      </c>
      <c r="G19" s="13">
        <f>IF(F19,1,0)</f>
        <v/>
      </c>
      <c r="H19" s="10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9" customWidth="1" min="3" max="3"/>
    <col width="78" customWidth="1" min="4" max="4"/>
    <col width="18" customWidth="1" min="5" max="5"/>
    <col width="12" customWidth="1" min="6" max="6"/>
    <col width="23" customWidth="1" min="7" max="7"/>
    <col width="12" customWidth="1" min="8" max="8"/>
    <col width="32" customWidth="1" min="9" max="9"/>
    <col width="12" customWidth="1" min="10" max="10"/>
  </cols>
  <sheetData>
    <row r="1" ht="30" customHeight="1">
      <c r="A1" s="1" t="inlineStr">
        <is>
          <t>PubAd Optional — Mains Mock Test Series</t>
        </is>
      </c>
    </row>
    <row r="2" ht="18" customHeight="1">
      <c r="A2" s="2" t="inlineStr">
        <is>
          <t>ForumIAS O-AWFG (DAWT + Sectionals + FLT) &amp; Lukmaan IAS (1-10)</t>
        </is>
      </c>
    </row>
    <row r="3" ht="20" customHeight="1">
      <c r="A3" s="3">
        <f>"Progress "&amp;TEXT(AVERAGE(I5:I52),"0%")&amp;"   "&amp;REPT("█",ROUND(AVERAGE(I5:I52)*20,0))&amp;REPT("░",20-ROUND(AVERAGE(I5:I52)*20,0))&amp;"  ·  Total Tests: 48  ·  Completed: "&amp;COUNTIF(I5:I52,1)</f>
        <v/>
      </c>
    </row>
    <row r="4" ht="24" customHeight="1">
      <c r="A4" s="12" t="inlineStr">
        <is>
          <t>Series / Institute</t>
        </is>
      </c>
      <c r="B4" s="12" t="inlineStr">
        <is>
          <t>Paper</t>
        </is>
      </c>
      <c r="C4" s="12" t="inlineStr">
        <is>
          <t>Test Code / Type</t>
        </is>
      </c>
      <c r="D4" s="12" t="inlineStr">
        <is>
          <t>Topic / Details</t>
        </is>
      </c>
      <c r="E4" s="12" t="inlineStr">
        <is>
          <t>Scheduled Date</t>
        </is>
      </c>
      <c r="F4" s="12" t="inlineStr">
        <is>
          <t>Written</t>
        </is>
      </c>
      <c r="G4" s="12" t="inlineStr">
        <is>
          <t>Evaluation / Review</t>
        </is>
      </c>
      <c r="H4" s="12" t="inlineStr">
        <is>
          <t>Score</t>
        </is>
      </c>
      <c r="I4" s="12" t="inlineStr">
        <is>
          <t>Progress %</t>
        </is>
      </c>
      <c r="J4" s="12" t="inlineStr">
        <is>
          <t>Remarks</t>
        </is>
      </c>
    </row>
    <row r="5">
      <c r="A5" s="10" t="inlineStr">
        <is>
          <t>ForumIAS O-AWFG</t>
        </is>
      </c>
      <c r="B5" s="10" t="inlineStr">
        <is>
          <t>Paper 1</t>
        </is>
      </c>
      <c r="C5" s="10" t="inlineStr">
        <is>
          <t>DAWT (985401)</t>
        </is>
      </c>
      <c r="D5" s="10" t="inlineStr">
        <is>
          <t>Civilisation &amp; Public Administration; Bureaucratic theory of Max Weber</t>
        </is>
      </c>
      <c r="E5" s="9" t="inlineStr">
        <is>
          <t>2025-12-22</t>
        </is>
      </c>
      <c r="F5" s="9" t="b">
        <v>0</v>
      </c>
      <c r="G5" s="9" t="b">
        <v>0</v>
      </c>
      <c r="H5" s="9" t="inlineStr"/>
      <c r="I5" s="13">
        <f>IF(F5,0.6,0)+IF(G5,0.4,0)</f>
        <v/>
      </c>
      <c r="J5" s="10" t="inlineStr"/>
    </row>
    <row r="6">
      <c r="A6" s="10" t="inlineStr">
        <is>
          <t>ForumIAS O-AWFG</t>
        </is>
      </c>
      <c r="B6" s="10" t="inlineStr">
        <is>
          <t>Paper 1</t>
        </is>
      </c>
      <c r="C6" s="10" t="inlineStr">
        <is>
          <t>DAWT (985402)</t>
        </is>
      </c>
      <c r="D6" s="10" t="inlineStr">
        <is>
          <t>Administrative Thought - Elton Mayo</t>
        </is>
      </c>
      <c r="E6" s="9" t="inlineStr">
        <is>
          <t>2025-12-24</t>
        </is>
      </c>
      <c r="F6" s="9" t="b">
        <v>0</v>
      </c>
      <c r="G6" s="9" t="b">
        <v>0</v>
      </c>
      <c r="H6" s="9" t="inlineStr"/>
      <c r="I6" s="13">
        <f>IF(F6,0.6,0)+IF(G6,0.4,0)</f>
        <v/>
      </c>
      <c r="J6" s="10" t="inlineStr"/>
    </row>
    <row r="7">
      <c r="A7" s="10" t="inlineStr">
        <is>
          <t>ForumIAS O-AWFG</t>
        </is>
      </c>
      <c r="B7" s="10" t="inlineStr">
        <is>
          <t>Paper 1</t>
        </is>
      </c>
      <c r="C7" s="10" t="inlineStr">
        <is>
          <t>DAWT (985403)</t>
        </is>
      </c>
      <c r="D7" s="10" t="inlineStr">
        <is>
          <t>Administrative Thought &amp; Behaviour: Chester Barnard, Herbert Simon</t>
        </is>
      </c>
      <c r="E7" s="9" t="inlineStr">
        <is>
          <t>2025-12-26</t>
        </is>
      </c>
      <c r="F7" s="9" t="b">
        <v>0</v>
      </c>
      <c r="G7" s="9" t="b">
        <v>0</v>
      </c>
      <c r="H7" s="9" t="inlineStr"/>
      <c r="I7" s="13">
        <f>IF(F7,0.6,0)+IF(G7,0.4,0)</f>
        <v/>
      </c>
      <c r="J7" s="10" t="inlineStr"/>
    </row>
    <row r="8">
      <c r="A8" s="10" t="inlineStr">
        <is>
          <t>ForumIAS O-AWFG</t>
        </is>
      </c>
      <c r="B8" s="10" t="inlineStr">
        <is>
          <t>Paper 1</t>
        </is>
      </c>
      <c r="C8" s="10" t="inlineStr">
        <is>
          <t>DAWT (985404)</t>
        </is>
      </c>
      <c r="D8" s="10" t="inlineStr">
        <is>
          <t>New Public Administration, Leadership, Motivation and Morale</t>
        </is>
      </c>
      <c r="E8" s="9" t="inlineStr">
        <is>
          <t>2025-12-28</t>
        </is>
      </c>
      <c r="F8" s="9" t="b">
        <v>0</v>
      </c>
      <c r="G8" s="9" t="b">
        <v>0</v>
      </c>
      <c r="H8" s="9" t="inlineStr"/>
      <c r="I8" s="13">
        <f>IF(F8,0.6,0)+IF(G8,0.4,0)</f>
        <v/>
      </c>
      <c r="J8" s="10" t="inlineStr"/>
    </row>
    <row r="9">
      <c r="A9" s="10" t="inlineStr">
        <is>
          <t>ForumIAS O-AWFG</t>
        </is>
      </c>
      <c r="B9" s="10" t="inlineStr">
        <is>
          <t>Paper 1</t>
        </is>
      </c>
      <c r="C9" s="10" t="inlineStr">
        <is>
          <t>DAWT (985405)</t>
        </is>
      </c>
      <c r="D9" s="10" t="inlineStr">
        <is>
          <t>Public Choice approach : The impact on the Discipline</t>
        </is>
      </c>
      <c r="E9" s="9" t="inlineStr">
        <is>
          <t>2025-12-30</t>
        </is>
      </c>
      <c r="F9" s="9" t="b">
        <v>0</v>
      </c>
      <c r="G9" s="9" t="b">
        <v>0</v>
      </c>
      <c r="H9" s="9" t="inlineStr"/>
      <c r="I9" s="13">
        <f>IF(F9,0.6,0)+IF(G9,0.4,0)</f>
        <v/>
      </c>
      <c r="J9" s="10" t="inlineStr"/>
    </row>
    <row r="10">
      <c r="A10" s="10" t="inlineStr">
        <is>
          <t>ForumIAS O-AWFG</t>
        </is>
      </c>
      <c r="B10" s="10" t="inlineStr">
        <is>
          <t>Paper 1</t>
        </is>
      </c>
      <c r="C10" s="10" t="inlineStr">
        <is>
          <t>DAWT (985406)</t>
        </is>
      </c>
      <c r="D10" s="10" t="inlineStr">
        <is>
          <t>The Concept of Comparative Public Administration</t>
        </is>
      </c>
      <c r="E10" s="9" t="inlineStr">
        <is>
          <t>2025-12-31</t>
        </is>
      </c>
      <c r="F10" s="9" t="b">
        <v>0</v>
      </c>
      <c r="G10" s="9" t="b">
        <v>0</v>
      </c>
      <c r="H10" s="9" t="inlineStr"/>
      <c r="I10" s="13">
        <f>IF(F10,0.6,0)+IF(G10,0.4,0)</f>
        <v/>
      </c>
      <c r="J10" s="10" t="inlineStr"/>
    </row>
    <row r="11">
      <c r="A11" s="10" t="inlineStr">
        <is>
          <t>ForumIAS O-AWFG</t>
        </is>
      </c>
      <c r="B11" s="10" t="inlineStr">
        <is>
          <t>Paper 1</t>
        </is>
      </c>
      <c r="C11" s="10" t="inlineStr">
        <is>
          <t>SECTIONAL TEST 1 (935201)</t>
        </is>
      </c>
      <c r="D11" s="10" t="inlineStr">
        <is>
          <t>Topics from TEST 1 - 6</t>
        </is>
      </c>
      <c r="E11" s="9" t="inlineStr">
        <is>
          <t>2026-01-02</t>
        </is>
      </c>
      <c r="F11" s="9" t="b">
        <v>0</v>
      </c>
      <c r="G11" s="9" t="b">
        <v>0</v>
      </c>
      <c r="H11" s="9" t="inlineStr"/>
      <c r="I11" s="13">
        <f>IF(F11,0.6,0)+IF(G11,0.4,0)</f>
        <v/>
      </c>
      <c r="J11" s="10" t="inlineStr"/>
    </row>
    <row r="12">
      <c r="A12" s="10" t="inlineStr">
        <is>
          <t>ForumIAS O-AWFG</t>
        </is>
      </c>
      <c r="B12" s="10" t="inlineStr">
        <is>
          <t>Paper 1</t>
        </is>
      </c>
      <c r="C12" s="10" t="inlineStr">
        <is>
          <t>DAWT (985407)</t>
        </is>
      </c>
      <c r="D12" s="10" t="inlineStr">
        <is>
          <t>Method and Level of CPA, Riggsian models and their critique</t>
        </is>
      </c>
      <c r="E12" s="9" t="inlineStr">
        <is>
          <t>2026-01-04</t>
        </is>
      </c>
      <c r="F12" s="9" t="b">
        <v>0</v>
      </c>
      <c r="G12" s="9" t="b">
        <v>0</v>
      </c>
      <c r="H12" s="9" t="inlineStr"/>
      <c r="I12" s="13">
        <f>IF(F12,0.6,0)+IF(G12,0.4,0)</f>
        <v/>
      </c>
      <c r="J12" s="10" t="inlineStr"/>
    </row>
    <row r="13">
      <c r="A13" s="10" t="inlineStr">
        <is>
          <t>ForumIAS O-AWFG</t>
        </is>
      </c>
      <c r="B13" s="10" t="inlineStr">
        <is>
          <t>Paper 1</t>
        </is>
      </c>
      <c r="C13" s="10" t="inlineStr">
        <is>
          <t>DAWT (985408)</t>
        </is>
      </c>
      <c r="D13" s="10" t="inlineStr">
        <is>
          <t>The Concept and Significance of Administrative Law</t>
        </is>
      </c>
      <c r="E13" s="9" t="inlineStr">
        <is>
          <t>2026-01-06</t>
        </is>
      </c>
      <c r="F13" s="9" t="b">
        <v>0</v>
      </c>
      <c r="G13" s="9" t="b">
        <v>0</v>
      </c>
      <c r="H13" s="9" t="inlineStr"/>
      <c r="I13" s="13">
        <f>IF(F13,0.6,0)+IF(G13,0.4,0)</f>
        <v/>
      </c>
      <c r="J13" s="10" t="inlineStr"/>
    </row>
    <row r="14">
      <c r="A14" s="10" t="inlineStr">
        <is>
          <t>ForumIAS O-AWFG</t>
        </is>
      </c>
      <c r="B14" s="10" t="inlineStr">
        <is>
          <t>Paper 1</t>
        </is>
      </c>
      <c r="C14" s="10" t="inlineStr">
        <is>
          <t>DAWT (985409)</t>
        </is>
      </c>
      <c r="D14" s="10" t="inlineStr">
        <is>
          <t>Changing profile of development and Anti-development thesis</t>
        </is>
      </c>
      <c r="E14" s="9" t="inlineStr">
        <is>
          <t>2026-01-08</t>
        </is>
      </c>
      <c r="F14" s="9" t="b">
        <v>0</v>
      </c>
      <c r="G14" s="9" t="b">
        <v>0</v>
      </c>
      <c r="H14" s="9" t="inlineStr"/>
      <c r="I14" s="13">
        <f>IF(F14,0.6,0)+IF(G14,0.4,0)</f>
        <v/>
      </c>
      <c r="J14" s="10" t="inlineStr"/>
    </row>
    <row r="15">
      <c r="A15" s="10" t="inlineStr">
        <is>
          <t>ForumIAS O-AWFG</t>
        </is>
      </c>
      <c r="B15" s="10" t="inlineStr">
        <is>
          <t>Paper 1</t>
        </is>
      </c>
      <c r="C15" s="10" t="inlineStr">
        <is>
          <t>DAWT (985410)</t>
        </is>
      </c>
      <c r="D15" s="10" t="inlineStr">
        <is>
          <t>Strong state vs market debate; Impact of liberalization in dev countries</t>
        </is>
      </c>
      <c r="E15" s="9" t="inlineStr">
        <is>
          <t>2026-01-10</t>
        </is>
      </c>
      <c r="F15" s="9" t="b">
        <v>0</v>
      </c>
      <c r="G15" s="9" t="b">
        <v>0</v>
      </c>
      <c r="H15" s="9" t="inlineStr"/>
      <c r="I15" s="13">
        <f>IF(F15,0.6,0)+IF(G15,0.4,0)</f>
        <v/>
      </c>
      <c r="J15" s="10" t="inlineStr"/>
    </row>
    <row r="16">
      <c r="A16" s="10" t="inlineStr">
        <is>
          <t>ForumIAS O-AWFG</t>
        </is>
      </c>
      <c r="B16" s="10" t="inlineStr">
        <is>
          <t>Paper 1</t>
        </is>
      </c>
      <c r="C16" s="10" t="inlineStr">
        <is>
          <t>DAWT (985411)</t>
        </is>
      </c>
      <c r="D16" s="10" t="inlineStr">
        <is>
          <t>Models of policy-making &amp; critique, Planning, monitoring, State theories</t>
        </is>
      </c>
      <c r="E16" s="9" t="inlineStr">
        <is>
          <t>2026-01-12</t>
        </is>
      </c>
      <c r="F16" s="9" t="b">
        <v>0</v>
      </c>
      <c r="G16" s="9" t="b">
        <v>0</v>
      </c>
      <c r="H16" s="9" t="inlineStr"/>
      <c r="I16" s="13">
        <f>IF(F16,0.6,0)+IF(G16,0.4,0)</f>
        <v/>
      </c>
      <c r="J16" s="10" t="inlineStr"/>
    </row>
    <row r="17">
      <c r="A17" s="10" t="inlineStr">
        <is>
          <t>ForumIAS O-AWFG</t>
        </is>
      </c>
      <c r="B17" s="10" t="inlineStr">
        <is>
          <t>Paper 1</t>
        </is>
      </c>
      <c r="C17" s="10" t="inlineStr">
        <is>
          <t>DAWT (985412)</t>
        </is>
      </c>
      <c r="D17" s="10" t="inlineStr">
        <is>
          <t>Personnel Administration: Recruitment, training, career, discipline</t>
        </is>
      </c>
      <c r="E17" s="9" t="inlineStr">
        <is>
          <t>2026-01-14</t>
        </is>
      </c>
      <c r="F17" s="9" t="b">
        <v>0</v>
      </c>
      <c r="G17" s="9" t="b">
        <v>0</v>
      </c>
      <c r="H17" s="9" t="inlineStr"/>
      <c r="I17" s="13">
        <f>IF(F17,0.6,0)+IF(G17,0.4,0)</f>
        <v/>
      </c>
      <c r="J17" s="10" t="inlineStr"/>
    </row>
    <row r="18">
      <c r="A18" s="10" t="inlineStr">
        <is>
          <t>ForumIAS O-AWFG</t>
        </is>
      </c>
      <c r="B18" s="10" t="inlineStr">
        <is>
          <t>Paper 1</t>
        </is>
      </c>
      <c r="C18" s="10" t="inlineStr">
        <is>
          <t>SECTIONAL TEST 2 (935202)</t>
        </is>
      </c>
      <c r="D18" s="10" t="inlineStr">
        <is>
          <t>Topics from TEST 7 - 12</t>
        </is>
      </c>
      <c r="E18" s="9" t="inlineStr">
        <is>
          <t>2026-01-16</t>
        </is>
      </c>
      <c r="F18" s="9" t="b">
        <v>0</v>
      </c>
      <c r="G18" s="9" t="b">
        <v>0</v>
      </c>
      <c r="H18" s="9" t="inlineStr"/>
      <c r="I18" s="13">
        <f>IF(F18,0.6,0)+IF(G18,0.4,0)</f>
        <v/>
      </c>
      <c r="J18" s="10" t="inlineStr"/>
    </row>
    <row r="19">
      <c r="A19" s="10" t="inlineStr">
        <is>
          <t>ForumIAS O-AWFG</t>
        </is>
      </c>
      <c r="B19" s="10" t="inlineStr">
        <is>
          <t>Paper 1</t>
        </is>
      </c>
      <c r="C19" s="10" t="inlineStr">
        <is>
          <t>DAWT (985413)</t>
        </is>
      </c>
      <c r="D19" s="10" t="inlineStr">
        <is>
          <t>Employer-employee relations, grievance redressal, Admin ethics</t>
        </is>
      </c>
      <c r="E19" s="9" t="inlineStr">
        <is>
          <t>2026-01-18</t>
        </is>
      </c>
      <c r="F19" s="9" t="b">
        <v>0</v>
      </c>
      <c r="G19" s="9" t="b">
        <v>0</v>
      </c>
      <c r="H19" s="9" t="inlineStr"/>
      <c r="I19" s="13">
        <f>IF(F19,0.6,0)+IF(G19,0.4,0)</f>
        <v/>
      </c>
      <c r="J19" s="10" t="inlineStr"/>
    </row>
    <row r="20">
      <c r="A20" s="10" t="inlineStr">
        <is>
          <t>ForumIAS O-AWFG</t>
        </is>
      </c>
      <c r="B20" s="10" t="inlineStr">
        <is>
          <t>Paper 1</t>
        </is>
      </c>
      <c r="C20" s="10" t="inlineStr">
        <is>
          <t>DAWT (985414)</t>
        </is>
      </c>
      <c r="D20" s="10" t="inlineStr">
        <is>
          <t>Monetary and fiscal policies, Budgets types and forms</t>
        </is>
      </c>
      <c r="E20" s="9" t="inlineStr">
        <is>
          <t>2026-01-20</t>
        </is>
      </c>
      <c r="F20" s="9" t="b">
        <v>0</v>
      </c>
      <c r="G20" s="9" t="b">
        <v>0</v>
      </c>
      <c r="H20" s="9" t="inlineStr"/>
      <c r="I20" s="13">
        <f>IF(F20,0.6,0)+IF(G20,0.4,0)</f>
        <v/>
      </c>
      <c r="J20" s="10" t="inlineStr"/>
    </row>
    <row r="21">
      <c r="A21" s="10" t="inlineStr">
        <is>
          <t>ForumIAS O-AWFG</t>
        </is>
      </c>
      <c r="B21" s="10" t="inlineStr">
        <is>
          <t>Paper 1</t>
        </is>
      </c>
      <c r="C21" s="10" t="inlineStr">
        <is>
          <t>DAWT (985415)</t>
        </is>
      </c>
      <c r="D21" s="10" t="inlineStr">
        <is>
          <t>Accounts and Audit, Techniques of Administrative Improvement</t>
        </is>
      </c>
      <c r="E21" s="9" t="inlineStr">
        <is>
          <t>2026-01-22</t>
        </is>
      </c>
      <c r="F21" s="9" t="b">
        <v>0</v>
      </c>
      <c r="G21" s="9" t="b">
        <v>0</v>
      </c>
      <c r="H21" s="9" t="inlineStr"/>
      <c r="I21" s="13">
        <f>IF(F21,0.6,0)+IF(G21,0.4,0)</f>
        <v/>
      </c>
      <c r="J21" s="10" t="inlineStr"/>
    </row>
    <row r="22">
      <c r="A22" s="10" t="inlineStr">
        <is>
          <t>ForumIAS O-AWFG</t>
        </is>
      </c>
      <c r="B22" s="10" t="inlineStr">
        <is>
          <t>Paper 1</t>
        </is>
      </c>
      <c r="C22" s="10" t="inlineStr">
        <is>
          <t>DAWT (985416)</t>
        </is>
      </c>
      <c r="D22" s="10" t="inlineStr">
        <is>
          <t>Post-Weberian Developments - The rise of Postmodern Concepts</t>
        </is>
      </c>
      <c r="E22" s="9" t="inlineStr">
        <is>
          <t>2026-01-24</t>
        </is>
      </c>
      <c r="F22" s="9" t="b">
        <v>0</v>
      </c>
      <c r="G22" s="9" t="b">
        <v>0</v>
      </c>
      <c r="H22" s="9" t="inlineStr"/>
      <c r="I22" s="13">
        <f>IF(F22,0.6,0)+IF(G22,0.4,0)</f>
        <v/>
      </c>
      <c r="J22" s="10" t="inlineStr"/>
    </row>
    <row r="23">
      <c r="A23" s="10" t="inlineStr">
        <is>
          <t>ForumIAS O-AWFG</t>
        </is>
      </c>
      <c r="B23" s="10" t="inlineStr">
        <is>
          <t>Paper 1</t>
        </is>
      </c>
      <c r="C23" s="10" t="inlineStr">
        <is>
          <t>DAWT (985417)</t>
        </is>
      </c>
      <c r="D23" s="10" t="inlineStr">
        <is>
          <t>Organizations - Systems, Structure and forms of Organization</t>
        </is>
      </c>
      <c r="E23" s="9" t="inlineStr">
        <is>
          <t>2026-01-27</t>
        </is>
      </c>
      <c r="F23" s="9" t="b">
        <v>0</v>
      </c>
      <c r="G23" s="9" t="b">
        <v>0</v>
      </c>
      <c r="H23" s="9" t="inlineStr"/>
      <c r="I23" s="13">
        <f>IF(F23,0.6,0)+IF(G23,0.4,0)</f>
        <v/>
      </c>
      <c r="J23" s="10" t="inlineStr"/>
    </row>
    <row r="24">
      <c r="A24" s="10" t="inlineStr">
        <is>
          <t>ForumIAS O-AWFG</t>
        </is>
      </c>
      <c r="B24" s="10" t="inlineStr">
        <is>
          <t>Paper 1</t>
        </is>
      </c>
      <c r="C24" s="10" t="inlineStr">
        <is>
          <t>SECTIONAL TEST 3 (935203)</t>
        </is>
      </c>
      <c r="D24" s="10" t="inlineStr">
        <is>
          <t>Topics from TEST 13 - 17</t>
        </is>
      </c>
      <c r="E24" s="9" t="inlineStr">
        <is>
          <t>2026-01-29</t>
        </is>
      </c>
      <c r="F24" s="9" t="b">
        <v>0</v>
      </c>
      <c r="G24" s="9" t="b">
        <v>0</v>
      </c>
      <c r="H24" s="9" t="inlineStr"/>
      <c r="I24" s="13">
        <f>IF(F24,0.6,0)+IF(G24,0.4,0)</f>
        <v/>
      </c>
      <c r="J24" s="10" t="inlineStr"/>
    </row>
    <row r="25">
      <c r="A25" s="10" t="inlineStr">
        <is>
          <t>ForumIAS O-AWFG</t>
        </is>
      </c>
      <c r="B25" s="10" t="inlineStr">
        <is>
          <t>Paper 1</t>
        </is>
      </c>
      <c r="C25" s="10" t="inlineStr">
        <is>
          <t>FLT 1 (935204)</t>
        </is>
      </c>
      <c r="D25" s="10" t="inlineStr">
        <is>
          <t>Full Syllabus Test Paper 1</t>
        </is>
      </c>
      <c r="E25" s="9" t="inlineStr">
        <is>
          <t>2026-01-31</t>
        </is>
      </c>
      <c r="F25" s="9" t="b">
        <v>0</v>
      </c>
      <c r="G25" s="9" t="b">
        <v>0</v>
      </c>
      <c r="H25" s="9" t="inlineStr"/>
      <c r="I25" s="13">
        <f>IF(F25,0.6,0)+IF(G25,0.4,0)</f>
        <v/>
      </c>
      <c r="J25" s="10" t="inlineStr"/>
    </row>
    <row r="26">
      <c r="A26" s="10" t="inlineStr">
        <is>
          <t>ForumIAS O-AWFG</t>
        </is>
      </c>
      <c r="B26" s="10" t="inlineStr">
        <is>
          <t>Paper 2</t>
        </is>
      </c>
      <c r="C26" s="10" t="inlineStr">
        <is>
          <t>DAWT (985418)</t>
        </is>
      </c>
      <c r="D26" s="10" t="inlineStr">
        <is>
          <t>Kautilya, Mughal administration, British legacy, Indianization of services</t>
        </is>
      </c>
      <c r="E26" s="9" t="inlineStr">
        <is>
          <t>2026-02-02</t>
        </is>
      </c>
      <c r="F26" s="9" t="b">
        <v>0</v>
      </c>
      <c r="G26" s="9" t="b">
        <v>0</v>
      </c>
      <c r="H26" s="9" t="inlineStr"/>
      <c r="I26" s="13">
        <f>IF(F26,0.6,0)+IF(G26,0.4,0)</f>
        <v/>
      </c>
      <c r="J26" s="10" t="inlineStr"/>
    </row>
    <row r="27">
      <c r="A27" s="10" t="inlineStr">
        <is>
          <t>ForumIAS O-AWFG</t>
        </is>
      </c>
      <c r="B27" s="10" t="inlineStr">
        <is>
          <t>Paper 2</t>
        </is>
      </c>
      <c r="C27" s="10" t="inlineStr">
        <is>
          <t>DAWT (985419)</t>
        </is>
      </c>
      <c r="D27" s="10" t="inlineStr">
        <is>
          <t>Constitutionalism, Political culture, Bureaucracy democracy &amp; dev</t>
        </is>
      </c>
      <c r="E27" s="9" t="inlineStr">
        <is>
          <t>2026-02-04</t>
        </is>
      </c>
      <c r="F27" s="9" t="b">
        <v>0</v>
      </c>
      <c r="G27" s="9" t="b">
        <v>0</v>
      </c>
      <c r="H27" s="9" t="inlineStr"/>
      <c r="I27" s="13">
        <f>IF(F27,0.6,0)+IF(G27,0.4,0)</f>
        <v/>
      </c>
      <c r="J27" s="10" t="inlineStr"/>
    </row>
    <row r="28">
      <c r="A28" s="10" t="inlineStr">
        <is>
          <t>ForumIAS O-AWFG</t>
        </is>
      </c>
      <c r="B28" s="10" t="inlineStr">
        <is>
          <t>Paper 2</t>
        </is>
      </c>
      <c r="C28" s="10" t="inlineStr">
        <is>
          <t>DAWT (985420)</t>
        </is>
      </c>
      <c r="D28" s="10" t="inlineStr">
        <is>
          <t>Public sector in modern India</t>
        </is>
      </c>
      <c r="E28" s="9" t="inlineStr">
        <is>
          <t>2026-02-06</t>
        </is>
      </c>
      <c r="F28" s="9" t="b">
        <v>0</v>
      </c>
      <c r="G28" s="9" t="b">
        <v>0</v>
      </c>
      <c r="H28" s="9" t="inlineStr"/>
      <c r="I28" s="13">
        <f>IF(F28,0.6,0)+IF(G28,0.4,0)</f>
        <v/>
      </c>
      <c r="J28" s="10" t="inlineStr"/>
    </row>
    <row r="29">
      <c r="A29" s="10" t="inlineStr">
        <is>
          <t>ForumIAS O-AWFG</t>
        </is>
      </c>
      <c r="B29" s="10" t="inlineStr">
        <is>
          <t>Paper 2</t>
        </is>
      </c>
      <c r="C29" s="10" t="inlineStr">
        <is>
          <t>DAWT (985421)</t>
        </is>
      </c>
      <c r="D29" s="10" t="inlineStr">
        <is>
          <t>Union Government and Administration</t>
        </is>
      </c>
      <c r="E29" s="9" t="inlineStr">
        <is>
          <t>2026-02-08</t>
        </is>
      </c>
      <c r="F29" s="9" t="b">
        <v>0</v>
      </c>
      <c r="G29" s="9" t="b">
        <v>0</v>
      </c>
      <c r="H29" s="9" t="inlineStr"/>
      <c r="I29" s="13">
        <f>IF(F29,0.6,0)+IF(G29,0.4,0)</f>
        <v/>
      </c>
      <c r="J29" s="10" t="inlineStr"/>
    </row>
    <row r="30">
      <c r="A30" s="10" t="inlineStr">
        <is>
          <t>ForumIAS O-AWFG</t>
        </is>
      </c>
      <c r="B30" s="10" t="inlineStr">
        <is>
          <t>Paper 2</t>
        </is>
      </c>
      <c r="C30" s="10" t="inlineStr">
        <is>
          <t>DAWT (985422)</t>
        </is>
      </c>
      <c r="D30" s="10" t="inlineStr">
        <is>
          <t>Machinery of planning for economic development and social justice</t>
        </is>
      </c>
      <c r="E30" s="9" t="inlineStr">
        <is>
          <t>2026-02-10</t>
        </is>
      </c>
      <c r="F30" s="9" t="b">
        <v>0</v>
      </c>
      <c r="G30" s="9" t="b">
        <v>0</v>
      </c>
      <c r="H30" s="9" t="inlineStr"/>
      <c r="I30" s="13">
        <f>IF(F30,0.6,0)+IF(G30,0.4,0)</f>
        <v/>
      </c>
      <c r="J30" s="10" t="inlineStr"/>
    </row>
    <row r="31">
      <c r="A31" s="10" t="inlineStr">
        <is>
          <t>ForumIAS O-AWFG</t>
        </is>
      </c>
      <c r="B31" s="10" t="inlineStr">
        <is>
          <t>Paper 2</t>
        </is>
      </c>
      <c r="C31" s="10" t="inlineStr">
        <is>
          <t>SECTIONAL TEST 4 (935205)</t>
        </is>
      </c>
      <c r="D31" s="10" t="inlineStr">
        <is>
          <t>Topics from TEST 18 - 22</t>
        </is>
      </c>
      <c r="E31" s="9" t="inlineStr">
        <is>
          <t>2026-02-12</t>
        </is>
      </c>
      <c r="F31" s="9" t="b">
        <v>0</v>
      </c>
      <c r="G31" s="9" t="b">
        <v>0</v>
      </c>
      <c r="H31" s="9" t="inlineStr"/>
      <c r="I31" s="13">
        <f>IF(F31,0.6,0)+IF(G31,0.4,0)</f>
        <v/>
      </c>
      <c r="J31" s="10" t="inlineStr"/>
    </row>
    <row r="32">
      <c r="A32" s="10" t="inlineStr">
        <is>
          <t>ForumIAS O-AWFG</t>
        </is>
      </c>
      <c r="B32" s="10" t="inlineStr">
        <is>
          <t>Paper 2</t>
        </is>
      </c>
      <c r="C32" s="10" t="inlineStr">
        <is>
          <t>DAWT (985423)</t>
        </is>
      </c>
      <c r="D32" s="10" t="inlineStr">
        <is>
          <t>State Government and Administration</t>
        </is>
      </c>
      <c r="E32" s="9" t="inlineStr">
        <is>
          <t>2026-02-14</t>
        </is>
      </c>
      <c r="F32" s="9" t="b">
        <v>0</v>
      </c>
      <c r="G32" s="9" t="b">
        <v>0</v>
      </c>
      <c r="H32" s="9" t="inlineStr"/>
      <c r="I32" s="13">
        <f>IF(F32,0.6,0)+IF(G32,0.4,0)</f>
        <v/>
      </c>
      <c r="J32" s="10" t="inlineStr"/>
    </row>
    <row r="33">
      <c r="A33" s="10" t="inlineStr">
        <is>
          <t>ForumIAS O-AWFG</t>
        </is>
      </c>
      <c r="B33" s="10" t="inlineStr">
        <is>
          <t>Paper 2</t>
        </is>
      </c>
      <c r="C33" s="10" t="inlineStr">
        <is>
          <t>DAWT (985424)</t>
        </is>
      </c>
      <c r="D33" s="10" t="inlineStr">
        <is>
          <t>Changing role of Collector, District admin &amp; decentralization</t>
        </is>
      </c>
      <c r="E33" s="9" t="inlineStr">
        <is>
          <t>2026-02-16</t>
        </is>
      </c>
      <c r="F33" s="9" t="b">
        <v>0</v>
      </c>
      <c r="G33" s="9" t="b">
        <v>0</v>
      </c>
      <c r="H33" s="9" t="inlineStr"/>
      <c r="I33" s="13">
        <f>IF(F33,0.6,0)+IF(G33,0.4,0)</f>
        <v/>
      </c>
      <c r="J33" s="10" t="inlineStr"/>
    </row>
    <row r="34">
      <c r="A34" s="10" t="inlineStr">
        <is>
          <t>ForumIAS O-AWFG</t>
        </is>
      </c>
      <c r="B34" s="10" t="inlineStr">
        <is>
          <t>Paper 2</t>
        </is>
      </c>
      <c r="C34" s="10" t="inlineStr">
        <is>
          <t>DAWT (985425)</t>
        </is>
      </c>
      <c r="D34" s="10" t="inlineStr">
        <is>
          <t>Civil Services: Constitutional position, Structure, recruitment</t>
        </is>
      </c>
      <c r="E34" s="9" t="inlineStr">
        <is>
          <t>2026-02-18</t>
        </is>
      </c>
      <c r="F34" s="9" t="b">
        <v>0</v>
      </c>
      <c r="G34" s="9" t="b">
        <v>0</v>
      </c>
      <c r="H34" s="9" t="inlineStr"/>
      <c r="I34" s="13">
        <f>IF(F34,0.6,0)+IF(G34,0.4,0)</f>
        <v/>
      </c>
      <c r="J34" s="10" t="inlineStr"/>
    </row>
    <row r="35">
      <c r="A35" s="10" t="inlineStr">
        <is>
          <t>ForumIAS O-AWFG</t>
        </is>
      </c>
      <c r="B35" s="10" t="inlineStr">
        <is>
          <t>Paper 2</t>
        </is>
      </c>
      <c r="C35" s="10" t="inlineStr">
        <is>
          <t>DAWT (985426)</t>
        </is>
      </c>
      <c r="D35" s="10" t="inlineStr">
        <is>
          <t>Training, capacity building, Good governance initiatives</t>
        </is>
      </c>
      <c r="E35" s="9" t="inlineStr">
        <is>
          <t>2026-02-20</t>
        </is>
      </c>
      <c r="F35" s="9" t="b">
        <v>0</v>
      </c>
      <c r="G35" s="9" t="b">
        <v>0</v>
      </c>
      <c r="H35" s="9" t="inlineStr"/>
      <c r="I35" s="13">
        <f>IF(F35,0.6,0)+IF(G35,0.4,0)</f>
        <v/>
      </c>
      <c r="J35" s="10" t="inlineStr"/>
    </row>
    <row r="36">
      <c r="A36" s="10" t="inlineStr">
        <is>
          <t>ForumIAS O-AWFG</t>
        </is>
      </c>
      <c r="B36" s="10" t="inlineStr">
        <is>
          <t>Paper 2</t>
        </is>
      </c>
      <c r="C36" s="10" t="inlineStr">
        <is>
          <t>DAWT (985427)</t>
        </is>
      </c>
      <c r="D36" s="10" t="inlineStr">
        <is>
          <t>Administrative Reforms since Independence: Committees &amp; Commissions</t>
        </is>
      </c>
      <c r="E36" s="9" t="inlineStr">
        <is>
          <t>2026-02-22</t>
        </is>
      </c>
      <c r="F36" s="9" t="b">
        <v>0</v>
      </c>
      <c r="G36" s="9" t="b">
        <v>0</v>
      </c>
      <c r="H36" s="9" t="inlineStr"/>
      <c r="I36" s="13">
        <f>IF(F36,0.6,0)+IF(G36,0.4,0)</f>
        <v/>
      </c>
      <c r="J36" s="10" t="inlineStr"/>
    </row>
    <row r="37">
      <c r="A37" s="10" t="inlineStr">
        <is>
          <t>ForumIAS O-AWFG</t>
        </is>
      </c>
      <c r="B37" s="10" t="inlineStr">
        <is>
          <t>Paper 2</t>
        </is>
      </c>
      <c r="C37" s="10" t="inlineStr">
        <is>
          <t>SECTIONAL TEST 5 (935206)</t>
        </is>
      </c>
      <c r="D37" s="10" t="inlineStr">
        <is>
          <t>Topics from TEST 23 - 27</t>
        </is>
      </c>
      <c r="E37" s="9" t="inlineStr">
        <is>
          <t>2026-02-24</t>
        </is>
      </c>
      <c r="F37" s="9" t="b">
        <v>0</v>
      </c>
      <c r="G37" s="9" t="b">
        <v>0</v>
      </c>
      <c r="H37" s="9" t="inlineStr"/>
      <c r="I37" s="13">
        <f>IF(F37,0.6,0)+IF(G37,0.4,0)</f>
        <v/>
      </c>
      <c r="J37" s="10" t="inlineStr"/>
    </row>
    <row r="38">
      <c r="A38" s="10" t="inlineStr">
        <is>
          <t>ForumIAS O-AWFG</t>
        </is>
      </c>
      <c r="B38" s="10" t="inlineStr">
        <is>
          <t>Paper 2</t>
        </is>
      </c>
      <c r="C38" s="10" t="inlineStr">
        <is>
          <t>DAWT (985428)</t>
        </is>
      </c>
      <c r="D38" s="10" t="inlineStr">
        <is>
          <t>Rural Development and Urban Local Govt: Concept and Approach</t>
        </is>
      </c>
      <c r="E38" s="9" t="inlineStr">
        <is>
          <t>2026-02-26</t>
        </is>
      </c>
      <c r="F38" s="9" t="b">
        <v>0</v>
      </c>
      <c r="G38" s="9" t="b">
        <v>0</v>
      </c>
      <c r="H38" s="9" t="inlineStr"/>
      <c r="I38" s="13">
        <f>IF(F38,0.6,0)+IF(G38,0.4,0)</f>
        <v/>
      </c>
      <c r="J38" s="10" t="inlineStr"/>
    </row>
    <row r="39">
      <c r="A39" s="10" t="inlineStr">
        <is>
          <t>ForumIAS O-AWFG</t>
        </is>
      </c>
      <c r="B39" s="10" t="inlineStr">
        <is>
          <t>Paper 2</t>
        </is>
      </c>
      <c r="C39" s="10" t="inlineStr">
        <is>
          <t>DAWT (985429)</t>
        </is>
      </c>
      <c r="D39" s="10" t="inlineStr">
        <is>
          <t>Rural Development and Urban Local Govt: The Application</t>
        </is>
      </c>
      <c r="E39" s="9" t="inlineStr">
        <is>
          <t>2026-02-28</t>
        </is>
      </c>
      <c r="F39" s="9" t="b">
        <v>0</v>
      </c>
      <c r="G39" s="9" t="b">
        <v>0</v>
      </c>
      <c r="H39" s="9" t="inlineStr"/>
      <c r="I39" s="13">
        <f>IF(F39,0.6,0)+IF(G39,0.4,0)</f>
        <v/>
      </c>
      <c r="J39" s="10" t="inlineStr"/>
    </row>
    <row r="40">
      <c r="A40" s="10" t="inlineStr">
        <is>
          <t>ForumIAS O-AWFG</t>
        </is>
      </c>
      <c r="B40" s="10" t="inlineStr">
        <is>
          <t>Paper 2</t>
        </is>
      </c>
      <c r="C40" s="10" t="inlineStr">
        <is>
          <t>DAWT (985430)</t>
        </is>
      </c>
      <c r="D40" s="10" t="inlineStr">
        <is>
          <t>Criminalisation of politics &amp; admin; Police-public relations</t>
        </is>
      </c>
      <c r="E40" s="9" t="inlineStr">
        <is>
          <t>2026-03-01</t>
        </is>
      </c>
      <c r="F40" s="9" t="b">
        <v>0</v>
      </c>
      <c r="G40" s="9" t="b">
        <v>0</v>
      </c>
      <c r="H40" s="9" t="inlineStr"/>
      <c r="I40" s="13">
        <f>IF(F40,0.6,0)+IF(G40,0.4,0)</f>
        <v/>
      </c>
      <c r="J40" s="10" t="inlineStr"/>
    </row>
    <row r="41">
      <c r="A41" s="10" t="inlineStr">
        <is>
          <t>ForumIAS O-AWFG</t>
        </is>
      </c>
      <c r="B41" s="10" t="inlineStr">
        <is>
          <t>Paper 2</t>
        </is>
      </c>
      <c r="C41" s="10" t="inlineStr">
        <is>
          <t>DAWT (985431)</t>
        </is>
      </c>
      <c r="D41" s="10" t="inlineStr">
        <is>
          <t>Reforms in Police, National Police Commission, Investigative agencies</t>
        </is>
      </c>
      <c r="E41" s="9" t="inlineStr">
        <is>
          <t>2026-03-03</t>
        </is>
      </c>
      <c r="F41" s="9" t="b">
        <v>0</v>
      </c>
      <c r="G41" s="9" t="b">
        <v>0</v>
      </c>
      <c r="H41" s="9" t="inlineStr"/>
      <c r="I41" s="13">
        <f>IF(F41,0.6,0)+IF(G41,0.4,0)</f>
        <v/>
      </c>
      <c r="J41" s="10" t="inlineStr"/>
    </row>
    <row r="42">
      <c r="A42" s="10" t="inlineStr">
        <is>
          <t>ForumIAS O-AWFG</t>
        </is>
      </c>
      <c r="B42" s="10" t="inlineStr">
        <is>
          <t>Paper 2</t>
        </is>
      </c>
      <c r="C42" s="10" t="inlineStr">
        <is>
          <t>DAWT (985432)</t>
        </is>
      </c>
      <c r="D42" s="10" t="inlineStr">
        <is>
          <t>Significant Issues in Indian Admin: Polity, Tech, Governance</t>
        </is>
      </c>
      <c r="E42" s="9" t="inlineStr">
        <is>
          <t>2026-03-05</t>
        </is>
      </c>
      <c r="F42" s="9" t="b">
        <v>0</v>
      </c>
      <c r="G42" s="9" t="b">
        <v>0</v>
      </c>
      <c r="H42" s="9" t="inlineStr"/>
      <c r="I42" s="13">
        <f>IF(F42,0.6,0)+IF(G42,0.4,0)</f>
        <v/>
      </c>
      <c r="J42" s="10" t="inlineStr"/>
    </row>
    <row r="43">
      <c r="A43" s="10" t="inlineStr">
        <is>
          <t>Lukmaan IAS</t>
        </is>
      </c>
      <c r="B43" s="10" t="inlineStr">
        <is>
          <t>Full Paper</t>
        </is>
      </c>
      <c r="C43" s="10" t="inlineStr">
        <is>
          <t>Full Mock 1</t>
        </is>
      </c>
      <c r="D43" s="10" t="inlineStr">
        <is>
          <t>Full Syllabus Mock Test 1</t>
        </is>
      </c>
      <c r="E43" s="9" t="inlineStr"/>
      <c r="F43" s="9" t="b">
        <v>0</v>
      </c>
      <c r="G43" s="9" t="b">
        <v>0</v>
      </c>
      <c r="H43" s="9" t="inlineStr"/>
      <c r="I43" s="13">
        <f>IF(F43,0.6,0)+IF(G43,0.4,0)</f>
        <v/>
      </c>
      <c r="J43" s="10" t="inlineStr"/>
    </row>
    <row r="44">
      <c r="A44" s="10" t="inlineStr">
        <is>
          <t>Lukmaan IAS</t>
        </is>
      </c>
      <c r="B44" s="10" t="inlineStr">
        <is>
          <t>Full Paper</t>
        </is>
      </c>
      <c r="C44" s="10" t="inlineStr">
        <is>
          <t>Full Mock 2</t>
        </is>
      </c>
      <c r="D44" s="10" t="inlineStr">
        <is>
          <t>Full Syllabus Mock Test 2</t>
        </is>
      </c>
      <c r="E44" s="9" t="inlineStr"/>
      <c r="F44" s="9" t="b">
        <v>0</v>
      </c>
      <c r="G44" s="9" t="b">
        <v>0</v>
      </c>
      <c r="H44" s="9" t="inlineStr"/>
      <c r="I44" s="13">
        <f>IF(F44,0.6,0)+IF(G44,0.4,0)</f>
        <v/>
      </c>
      <c r="J44" s="10" t="inlineStr"/>
    </row>
    <row r="45">
      <c r="A45" s="10" t="inlineStr">
        <is>
          <t>Lukmaan IAS</t>
        </is>
      </c>
      <c r="B45" s="10" t="inlineStr">
        <is>
          <t>Full Paper</t>
        </is>
      </c>
      <c r="C45" s="10" t="inlineStr">
        <is>
          <t>Full Mock 3</t>
        </is>
      </c>
      <c r="D45" s="10" t="inlineStr">
        <is>
          <t>Full Syllabus Mock Test 3</t>
        </is>
      </c>
      <c r="E45" s="9" t="inlineStr"/>
      <c r="F45" s="9" t="b">
        <v>0</v>
      </c>
      <c r="G45" s="9" t="b">
        <v>0</v>
      </c>
      <c r="H45" s="9" t="inlineStr"/>
      <c r="I45" s="13">
        <f>IF(F45,0.6,0)+IF(G45,0.4,0)</f>
        <v/>
      </c>
      <c r="J45" s="10" t="inlineStr"/>
    </row>
    <row r="46">
      <c r="A46" s="10" t="inlineStr">
        <is>
          <t>Lukmaan IAS</t>
        </is>
      </c>
      <c r="B46" s="10" t="inlineStr">
        <is>
          <t>Full Paper</t>
        </is>
      </c>
      <c r="C46" s="10" t="inlineStr">
        <is>
          <t>Full Mock 4</t>
        </is>
      </c>
      <c r="D46" s="10" t="inlineStr">
        <is>
          <t>Full Syllabus Mock Test 4</t>
        </is>
      </c>
      <c r="E46" s="9" t="inlineStr"/>
      <c r="F46" s="9" t="b">
        <v>0</v>
      </c>
      <c r="G46" s="9" t="b">
        <v>0</v>
      </c>
      <c r="H46" s="9" t="inlineStr"/>
      <c r="I46" s="13">
        <f>IF(F46,0.6,0)+IF(G46,0.4,0)</f>
        <v/>
      </c>
      <c r="J46" s="10" t="inlineStr"/>
    </row>
    <row r="47">
      <c r="A47" s="10" t="inlineStr">
        <is>
          <t>Lukmaan IAS</t>
        </is>
      </c>
      <c r="B47" s="10" t="inlineStr">
        <is>
          <t>Full Paper</t>
        </is>
      </c>
      <c r="C47" s="10" t="inlineStr">
        <is>
          <t>Full Mock 5</t>
        </is>
      </c>
      <c r="D47" s="10" t="inlineStr">
        <is>
          <t>Full Syllabus Mock Test 5</t>
        </is>
      </c>
      <c r="E47" s="9" t="inlineStr"/>
      <c r="F47" s="9" t="b">
        <v>0</v>
      </c>
      <c r="G47" s="9" t="b">
        <v>0</v>
      </c>
      <c r="H47" s="9" t="inlineStr"/>
      <c r="I47" s="13">
        <f>IF(F47,0.6,0)+IF(G47,0.4,0)</f>
        <v/>
      </c>
      <c r="J47" s="10" t="inlineStr"/>
    </row>
    <row r="48">
      <c r="A48" s="10" t="inlineStr">
        <is>
          <t>Lukmaan IAS</t>
        </is>
      </c>
      <c r="B48" s="10" t="inlineStr">
        <is>
          <t>Full Paper</t>
        </is>
      </c>
      <c r="C48" s="10" t="inlineStr">
        <is>
          <t>Full Mock 6</t>
        </is>
      </c>
      <c r="D48" s="10" t="inlineStr">
        <is>
          <t>Full Syllabus Mock Test 6</t>
        </is>
      </c>
      <c r="E48" s="9" t="inlineStr"/>
      <c r="F48" s="9" t="b">
        <v>0</v>
      </c>
      <c r="G48" s="9" t="b">
        <v>0</v>
      </c>
      <c r="H48" s="9" t="inlineStr"/>
      <c r="I48" s="13">
        <f>IF(F48,0.6,0)+IF(G48,0.4,0)</f>
        <v/>
      </c>
      <c r="J48" s="10" t="inlineStr"/>
    </row>
    <row r="49">
      <c r="A49" s="10" t="inlineStr">
        <is>
          <t>Lukmaan IAS</t>
        </is>
      </c>
      <c r="B49" s="10" t="inlineStr">
        <is>
          <t>Full Paper</t>
        </is>
      </c>
      <c r="C49" s="10" t="inlineStr">
        <is>
          <t>Full Mock 7</t>
        </is>
      </c>
      <c r="D49" s="10" t="inlineStr">
        <is>
          <t>Full Syllabus Mock Test 7</t>
        </is>
      </c>
      <c r="E49" s="9" t="inlineStr"/>
      <c r="F49" s="9" t="b">
        <v>0</v>
      </c>
      <c r="G49" s="9" t="b">
        <v>0</v>
      </c>
      <c r="H49" s="9" t="inlineStr"/>
      <c r="I49" s="13">
        <f>IF(F49,0.6,0)+IF(G49,0.4,0)</f>
        <v/>
      </c>
      <c r="J49" s="10" t="inlineStr"/>
    </row>
    <row r="50">
      <c r="A50" s="10" t="inlineStr">
        <is>
          <t>Lukmaan IAS</t>
        </is>
      </c>
      <c r="B50" s="10" t="inlineStr">
        <is>
          <t>Full Paper</t>
        </is>
      </c>
      <c r="C50" s="10" t="inlineStr">
        <is>
          <t>Full Mock 8</t>
        </is>
      </c>
      <c r="D50" s="10" t="inlineStr">
        <is>
          <t>Full Syllabus Mock Test 8</t>
        </is>
      </c>
      <c r="E50" s="9" t="inlineStr"/>
      <c r="F50" s="9" t="b">
        <v>0</v>
      </c>
      <c r="G50" s="9" t="b">
        <v>0</v>
      </c>
      <c r="H50" s="9" t="inlineStr"/>
      <c r="I50" s="13">
        <f>IF(F50,0.6,0)+IF(G50,0.4,0)</f>
        <v/>
      </c>
      <c r="J50" s="10" t="inlineStr"/>
    </row>
    <row r="51">
      <c r="A51" s="10" t="inlineStr">
        <is>
          <t>Lukmaan IAS</t>
        </is>
      </c>
      <c r="B51" s="10" t="inlineStr">
        <is>
          <t>Full Paper</t>
        </is>
      </c>
      <c r="C51" s="10" t="inlineStr">
        <is>
          <t>Full Mock 9</t>
        </is>
      </c>
      <c r="D51" s="10" t="inlineStr">
        <is>
          <t>Full Syllabus Mock Test 9</t>
        </is>
      </c>
      <c r="E51" s="9" t="inlineStr"/>
      <c r="F51" s="9" t="b">
        <v>0</v>
      </c>
      <c r="G51" s="9" t="b">
        <v>0</v>
      </c>
      <c r="H51" s="9" t="inlineStr"/>
      <c r="I51" s="13">
        <f>IF(F51,0.6,0)+IF(G51,0.4,0)</f>
        <v/>
      </c>
      <c r="J51" s="10" t="inlineStr"/>
    </row>
    <row r="52">
      <c r="A52" s="10" t="inlineStr">
        <is>
          <t>Lukmaan IAS</t>
        </is>
      </c>
      <c r="B52" s="10" t="inlineStr">
        <is>
          <t>Full Paper</t>
        </is>
      </c>
      <c r="C52" s="10" t="inlineStr">
        <is>
          <t>Full Mock 10</t>
        </is>
      </c>
      <c r="D52" s="10" t="inlineStr">
        <is>
          <t>Full Syllabus Mock Test 10</t>
        </is>
      </c>
      <c r="E52" s="9" t="inlineStr"/>
      <c r="F52" s="9" t="b">
        <v>0</v>
      </c>
      <c r="G52" s="9" t="b">
        <v>0</v>
      </c>
      <c r="H52" s="9" t="inlineStr"/>
      <c r="I52" s="13">
        <f>IF(F52,0.6,0)+IF(G52,0.4,0)</f>
        <v/>
      </c>
      <c r="J52" s="10" t="inlineStr"/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2026-10-29T21:17:26Z</dcterms:created>
  <dcterms:modified xsi:type="dcterms:W3CDTF">2026-10-29T21:18:50Z</dcterms:modified>
</cp:coreProperties>
</file>